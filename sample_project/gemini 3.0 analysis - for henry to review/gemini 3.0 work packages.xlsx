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packages - high level" sheetId="1" r:id="rId4"/>
    <sheet state="visible" name="General Requirements &amp; Site Con" sheetId="2" r:id="rId5"/>
    <sheet state="visible" name="Civil &amp; Site Work" sheetId="3" r:id="rId6"/>
    <sheet state="visible" name="Architectural - Demolition" sheetId="4" r:id="rId7"/>
    <sheet state="visible" name="Architectural - New Constructio" sheetId="5" r:id="rId8"/>
    <sheet state="visible" name="Mechanical - HVAC Equipment" sheetId="6" r:id="rId9"/>
    <sheet state="visible" name="Mechanical - Ductwork &amp; Gas" sheetId="7" r:id="rId10"/>
    <sheet state="visible" name="Plumbing" sheetId="8" r:id="rId11"/>
    <sheet state="visible" name="Electrical" sheetId="9" r:id="rId12"/>
    <sheet state="visible" name="Additional Work Packages Identi" sheetId="10" r:id="rId13"/>
    <sheet state="visible" name="Critical Updates to Existing Sc" sheetId="11" r:id="rId14"/>
    <sheet state="visible" name="annotation detection" sheetId="12" r:id="rId15"/>
    <sheet state="visible" name="AI insights" sheetId="13" r:id="rId16"/>
  </sheets>
  <definedNames/>
  <calcPr/>
</workbook>
</file>

<file path=xl/sharedStrings.xml><?xml version="1.0" encoding="utf-8"?>
<sst xmlns="http://schemas.openxmlformats.org/spreadsheetml/2006/main" count="976" uniqueCount="499">
  <si>
    <t>ID</t>
  </si>
  <si>
    <t>Trade</t>
  </si>
  <si>
    <t>Work Package / Item</t>
  </si>
  <si>
    <t>Action</t>
  </si>
  <si>
    <t>Specifications / Quantities</t>
  </si>
  <si>
    <t>Source Ref</t>
  </si>
  <si>
    <t>CIV-01</t>
  </si>
  <si>
    <t>Civil</t>
  </si>
  <si>
    <t>Roof Drain Field #1</t>
  </si>
  <si>
    <t>Install New</t>
  </si>
  <si>
    <t>30'L x 15'W x 3.5'D excavation; (3) 24" ADS laterals; Backfill w/ drain rock</t>
  </si>
  <si>
    <t xml:space="preserve">[Sheet C1.0, C2.0] </t>
  </si>
  <si>
    <t>note: full breakdown list of each trade in a sperate tab (running AI deep mode)</t>
  </si>
  <si>
    <t>CIV-02</t>
  </si>
  <si>
    <t>Roof Drain Field #2</t>
  </si>
  <si>
    <t>12'L x 4'W x 3.5'D excavation; (1) 24" ADS lateral</t>
  </si>
  <si>
    <t xml:space="preserve">[Sheet C1.0, C3.0] </t>
  </si>
  <si>
    <t>CIV-03</t>
  </si>
  <si>
    <t>Concrete Sidewalk</t>
  </si>
  <si>
    <t>Remove &amp; Replace</t>
  </si>
  <si>
    <t>4" Concrete w/ W1.4xW1.4 mesh; 4' wide; Match existing grade</t>
  </si>
  <si>
    <t>CIV-04</t>
  </si>
  <si>
    <t>Asphalt Pavement</t>
  </si>
  <si>
    <t>Patching</t>
  </si>
  <si>
    <t>Sawcut clean edge; Repave &amp; grade to match drainage; Paint edges w/ hot asphalt</t>
  </si>
  <si>
    <t>[Sheet C2.0]</t>
  </si>
  <si>
    <t>CIV-05</t>
  </si>
  <si>
    <t>Monitoring Pipes</t>
  </si>
  <si>
    <t>(3) 4" SCH40 ABS pipes per field; Connect to CPEP w/ Fernco</t>
  </si>
  <si>
    <t>CIV-06</t>
  </si>
  <si>
    <t>Insulation Board (Civil)</t>
  </si>
  <si>
    <t>Install</t>
  </si>
  <si>
    <t>4" Insulfoam 40 Expanded Polystyrene (over drain fields)</t>
  </si>
  <si>
    <t>ARC-01</t>
  </si>
  <si>
    <t>Arch</t>
  </si>
  <si>
    <t>Low Slope Roofing (Roofs A-H)</t>
  </si>
  <si>
    <t>Demo</t>
  </si>
  <si>
    <t>Remove existing BUR, coverboard, and tapered insulation at crickets</t>
  </si>
  <si>
    <t>[Sheet A1.1]</t>
  </si>
  <si>
    <t>ARC-02</t>
  </si>
  <si>
    <t>New Roof System per spec; 5/8" Coverboard; 5/8" Sheathing</t>
  </si>
  <si>
    <t xml:space="preserve">[Sheet A1.2, A2.3] </t>
  </si>
  <si>
    <t>ARC-03</t>
  </si>
  <si>
    <t>Parapet Flashing</t>
  </si>
  <si>
    <t>Replace</t>
  </si>
  <si>
    <t>New 24ga pre-finished metal flashing &amp; counter flashing; 1x8 composite trim</t>
  </si>
  <si>
    <t xml:space="preserve">[Sheet A1.2, A2.1] </t>
  </si>
  <si>
    <t>ARC-04</t>
  </si>
  <si>
    <t>Roof Access Hatch</t>
  </si>
  <si>
    <t>30" x 54"; Install at existing opening; Provide safety rails/ladder up-posts</t>
  </si>
  <si>
    <t>[Sheet A1.2]</t>
  </si>
  <si>
    <t>ARC-05</t>
  </si>
  <si>
    <t>Roof Ladder</t>
  </si>
  <si>
    <t>Remove existing; Install new ladder per spec (See Detail 6,7/A2.3)</t>
  </si>
  <si>
    <t>ARC-06</t>
  </si>
  <si>
    <t>Scuppers</t>
  </si>
  <si>
    <t>Replace/New</t>
  </si>
  <si>
    <t>Demo existing; Install new per Detail 5/A2.3 (Roof B specific notes)</t>
  </si>
  <si>
    <t>ARC-07</t>
  </si>
  <si>
    <t>Wood Fencing</t>
  </si>
  <si>
    <t>Demolish</t>
  </si>
  <si>
    <t>Demo existing wood privacy fence</t>
  </si>
  <si>
    <t>ARC-08</t>
  </si>
  <si>
    <t>Walking Pads</t>
  </si>
  <si>
    <t>Rubber walking pads from hatch to ladder and equipment</t>
  </si>
  <si>
    <t>ARC-09</t>
  </si>
  <si>
    <t>Tapered Insulation</t>
  </si>
  <si>
    <t>New tapered insulation crickets (1/2" per 12" slope)</t>
  </si>
  <si>
    <t>MEC-01</t>
  </si>
  <si>
    <t>Mech</t>
  </si>
  <si>
    <t>RTU-1 (Raquetball)</t>
  </si>
  <si>
    <t>4 Ton; Daikin 048; Gas/Electric; 1600 CFM</t>
  </si>
  <si>
    <t>[Sheet M0.1]</t>
  </si>
  <si>
    <t>MEC-02</t>
  </si>
  <si>
    <t>RTU-2 (Cardio)</t>
  </si>
  <si>
    <t>3 Ton; Daikin 036; Gas/Electric; 1200 CFM</t>
  </si>
  <si>
    <t>MEC-03</t>
  </si>
  <si>
    <t>RTU-3 (2nd Fl Commons)</t>
  </si>
  <si>
    <t>8.5 Ton; Daikin 102; Gas/Electric; 3500 CFM</t>
  </si>
  <si>
    <t>MEC-04</t>
  </si>
  <si>
    <t>RTU-4 (Lobby/Weight)</t>
  </si>
  <si>
    <t>MEC-05</t>
  </si>
  <si>
    <t>RTU-5 (Locker Rooms)</t>
  </si>
  <si>
    <t>7.5 Ton; Daikin 090; Gas/Electric; 2610 CFM</t>
  </si>
  <si>
    <t>MEC-06</t>
  </si>
  <si>
    <t>RTU-6 (Gym)</t>
  </si>
  <si>
    <t>20 Ton; Daikin 240; Gas/Electric; 7950 CFM</t>
  </si>
  <si>
    <t>MEC-07</t>
  </si>
  <si>
    <t>Exhaust Fan EF-1</t>
  </si>
  <si>
    <t>Ceiling Mount; 200 CFM; Greenheck SP-A290</t>
  </si>
  <si>
    <t>MEC-08</t>
  </si>
  <si>
    <t>Exhaust Fan EF-2</t>
  </si>
  <si>
    <t>MEC-09</t>
  </si>
  <si>
    <t>Exhaust Fan EF-3</t>
  </si>
  <si>
    <t>Inline; 400 CFM; Greenheck BSQ-80-4</t>
  </si>
  <si>
    <t>MEC-10</t>
  </si>
  <si>
    <t>Exhaust Fan EF-4</t>
  </si>
  <si>
    <t>Roof Direct; 720 CFM; Greenheck USF-13</t>
  </si>
  <si>
    <t>MEC-11</t>
  </si>
  <si>
    <t>Exhaust Fan EF-5</t>
  </si>
  <si>
    <t>Roof Direct; 6280 CFM; Greenheck USF-20</t>
  </si>
  <si>
    <t>MEC-12</t>
  </si>
  <si>
    <t>Roof Curbs</t>
  </si>
  <si>
    <t>Insulated roof curbs for RTUs (24" high); Coordinate w/ Structural</t>
  </si>
  <si>
    <t>[Sheet M2.3]</t>
  </si>
  <si>
    <t>MEC-13</t>
  </si>
  <si>
    <t>Gas Piping (Roof)</t>
  </si>
  <si>
    <t>Black steel; New supports; Connect to RTUs</t>
  </si>
  <si>
    <t>MEC-14</t>
  </si>
  <si>
    <t>Exterior Ductwork</t>
  </si>
  <si>
    <t>Q-Duct (Pre-insulated phenolic); R-12; Weatherproof</t>
  </si>
  <si>
    <t>[Sheet M0.2]</t>
  </si>
  <si>
    <t>MEC-15</t>
  </si>
  <si>
    <t>Doghouse Penetration</t>
  </si>
  <si>
    <t>32"x32"x24" high insulated doghouse for ductwork</t>
  </si>
  <si>
    <t>PLU-01</t>
  </si>
  <si>
    <t>Plumb</t>
  </si>
  <si>
    <t>Roof Drains (RD-1)</t>
  </si>
  <si>
    <t>Cast iron dome; Underdeck clamp; 3" connection</t>
  </si>
  <si>
    <t xml:space="preserve">[Sheet M0.1, C1.0] </t>
  </si>
  <si>
    <t>PLU-02</t>
  </si>
  <si>
    <t>Overflow Drains (OD-1)</t>
  </si>
  <si>
    <t>2" water dam collar; Underdeck clamp</t>
  </si>
  <si>
    <t>PLU-03</t>
  </si>
  <si>
    <t>Rain Leaders</t>
  </si>
  <si>
    <t>3" &amp; 4" piping; Cast Iron (No-Hub) or ABS (allowed concealed)</t>
  </si>
  <si>
    <t xml:space="preserve">[Sheet M2.2, M0.2] </t>
  </si>
  <si>
    <t>PLU-04</t>
  </si>
  <si>
    <t>Heat Trace</t>
  </si>
  <si>
    <t>Electric heat trace in rain leaders/overflows</t>
  </si>
  <si>
    <t>[Sheet C1.0]</t>
  </si>
  <si>
    <t>ELE-01</t>
  </si>
  <si>
    <t>Elec</t>
  </si>
  <si>
    <t>Panel 'X'</t>
  </si>
  <si>
    <t>Remove panel, feeders, and conduits back to source</t>
  </si>
  <si>
    <t>[Sheet E1.0]</t>
  </si>
  <si>
    <t>ELE-02</t>
  </si>
  <si>
    <t>Panel 'D'</t>
  </si>
  <si>
    <t>Relocate circuits from 'X'; Install new panel</t>
  </si>
  <si>
    <t>ELE-03</t>
  </si>
  <si>
    <t>Main Breaker</t>
  </si>
  <si>
    <t>Replace existing 300A main w/ New 400A Main Breaker</t>
  </si>
  <si>
    <t>[Sheet E4.0]</t>
  </si>
  <si>
    <t>ELE-04</t>
  </si>
  <si>
    <t>Panel Feeders</t>
  </si>
  <si>
    <t>New feeder to Panel 'A'; New feeder to Panel 'MECH'</t>
  </si>
  <si>
    <t>ELE-05</t>
  </si>
  <si>
    <t>Duct Smoke Detectors</t>
  </si>
  <si>
    <t>Provide audio/visual alarm at check-in counter</t>
  </si>
  <si>
    <t>[Sheet E3.0]</t>
  </si>
  <si>
    <t>ELE-06</t>
  </si>
  <si>
    <t>Heat Trace Connection</t>
  </si>
  <si>
    <t>Power connection for rain leader heat trace (Tyco/Raychem)</t>
  </si>
  <si>
    <t>Specifications / Notes</t>
  </si>
  <si>
    <t>GEN-01</t>
  </si>
  <si>
    <t>General</t>
  </si>
  <si>
    <t>Construction Permits</t>
  </si>
  <si>
    <t>Admin</t>
  </si>
  <si>
    <t>Arrange and pay for all permits and inspections</t>
  </si>
  <si>
    <t>GEN-02</t>
  </si>
  <si>
    <t>As-Built Verification</t>
  </si>
  <si>
    <t>Verify</t>
  </si>
  <si>
    <t>Field verify existing roof slopes, elevations, dimensions</t>
  </si>
  <si>
    <t>[Sheet A1.1 Note 3]</t>
  </si>
  <si>
    <t>GEN-03</t>
  </si>
  <si>
    <t>Protection of Work</t>
  </si>
  <si>
    <t>Protect</t>
  </si>
  <si>
    <t>Protect existing finishes; Repair damages to lawns/site elements</t>
  </si>
  <si>
    <t>[Sheet A1.1 Note 10]</t>
  </si>
  <si>
    <t>GEN-04</t>
  </si>
  <si>
    <t>Hazardous Materials</t>
  </si>
  <si>
    <t>Abate</t>
  </si>
  <si>
    <t>Remove VTRs containing lead caps (Lead Awareness required)</t>
  </si>
  <si>
    <t>[Sheet A1.1 Note 7]</t>
  </si>
  <si>
    <t>GEN-05</t>
  </si>
  <si>
    <t>Testing &amp; Balancing</t>
  </si>
  <si>
    <t>Service</t>
  </si>
  <si>
    <t>Independent air balancing (SMACNA) for HVAC systems</t>
  </si>
  <si>
    <t>GEN-06</t>
  </si>
  <si>
    <t>O&amp;M Manuals</t>
  </si>
  <si>
    <t>Submit</t>
  </si>
  <si>
    <t>Include warranty certificates and supplier contacts</t>
  </si>
  <si>
    <t>Bid Form</t>
  </si>
  <si>
    <t>Flooring:</t>
  </si>
  <si>
    <t>Luxury Vinyl Tile [Reference Detail 7 / Sheet A-606}</t>
  </si>
  <si>
    <t>Person Responsible</t>
  </si>
  <si>
    <t>4-wk Effort</t>
  </si>
  <si>
    <t>Day 0</t>
  </si>
  <si>
    <t>Building Connected Invite Sent Out</t>
  </si>
  <si>
    <t>Precon Lead</t>
  </si>
  <si>
    <t>Subcontractors Notified</t>
  </si>
  <si>
    <t>assigned Scope Captains</t>
  </si>
  <si>
    <t>Scope Captains</t>
  </si>
  <si>
    <t>Decided by Preconstruction Director / VP or Equal</t>
  </si>
  <si>
    <t>Drawings / Documents / Specs all populated on Day 0</t>
  </si>
  <si>
    <t>Week 1</t>
  </si>
  <si>
    <t>Building out bid forms</t>
  </si>
  <si>
    <t>Scope Captains per Scope</t>
  </si>
  <si>
    <t>6-8 perb</t>
  </si>
  <si>
    <t>Outlining all scope pertinent to bid form</t>
  </si>
  <si>
    <t>""</t>
  </si>
  <si>
    <t>Calling Subcontracotrs</t>
  </si>
  <si>
    <t>Week 2</t>
  </si>
  <si>
    <t>Pre-Bid RFIs Due</t>
  </si>
  <si>
    <t>Populated by Scope Captains</t>
  </si>
  <si>
    <t>Week 3</t>
  </si>
  <si>
    <t>Pre-Bid RFIs are returned by Design Team</t>
  </si>
  <si>
    <t>Typically 1-wk to respond - Design Team</t>
  </si>
  <si>
    <t>Week 4</t>
  </si>
  <si>
    <t>Everything is due</t>
  </si>
  <si>
    <t>Scope Responsible</t>
  </si>
  <si>
    <t>Asphalt Paving</t>
  </si>
  <si>
    <t>Sawcut</t>
  </si>
  <si>
    <t>Sawcut clean edge on existing pavement</t>
  </si>
  <si>
    <t>Asphalt Paving:</t>
  </si>
  <si>
    <t>Remove 12" additional asphalt from cut edge</t>
  </si>
  <si>
    <t>[Sheet C2.0 Note 3]</t>
  </si>
  <si>
    <t>Type IIA; Match existing drainage; Paint edges w/ hot asphalt</t>
  </si>
  <si>
    <t>Earthworker</t>
  </si>
  <si>
    <t>Excavation (Drain Field #1)</t>
  </si>
  <si>
    <t>Excavate</t>
  </si>
  <si>
    <t>30'L x 15'W x 3.5'D; Slope per OSHA standards</t>
  </si>
  <si>
    <t>Excavation (Drain Field #2)</t>
  </si>
  <si>
    <t>12'L x 4'W x 3.5'D; Slope per OSHA standards</t>
  </si>
  <si>
    <t>Landscaper</t>
  </si>
  <si>
    <t>Drain Rock</t>
  </si>
  <si>
    <t>Coarse grade washed drain rock (backfill around pipes)</t>
  </si>
  <si>
    <t>CIV-07</t>
  </si>
  <si>
    <t>Landsacper</t>
  </si>
  <si>
    <t>Geotextile Fabric</t>
  </si>
  <si>
    <t>Typar 3401 or approved alternative (on top of rock)</t>
  </si>
  <si>
    <t>CIV-08</t>
  </si>
  <si>
    <t>Waterproofer</t>
  </si>
  <si>
    <t>Insulation Board (Site)</t>
  </si>
  <si>
    <t>4" Insulfoam 40 Expanded Polystyrene (drain fields)</t>
  </si>
  <si>
    <t>CIV-09</t>
  </si>
  <si>
    <t>Backfill</t>
  </si>
  <si>
    <t>NFS Sand/Gravel; Compact to 95% density</t>
  </si>
  <si>
    <t>[Sheet C2.0 Note 1]</t>
  </si>
  <si>
    <t>CIV-10</t>
  </si>
  <si>
    <t>Topsoil &amp; Seeding</t>
  </si>
  <si>
    <t>4" Topsoil; Regrade to maintain drainage</t>
  </si>
  <si>
    <t>CIV-11</t>
  </si>
  <si>
    <t>Remove</t>
  </si>
  <si>
    <t>Remove existing sidewalk at Bidarka St</t>
  </si>
  <si>
    <t>CIV-12</t>
  </si>
  <si>
    <t>Pour</t>
  </si>
  <si>
    <t>4" thick; 3000 PSI; W1.4xW1.4 mesh; Broom finish</t>
  </si>
  <si>
    <t>[Detail B/C3.0]</t>
  </si>
  <si>
    <t>CIV-13</t>
  </si>
  <si>
    <t>Warning Tape</t>
  </si>
  <si>
    <t>Vinyl warning tape (18" above pipe)</t>
  </si>
  <si>
    <t>[Sheet C3.0]</t>
  </si>
  <si>
    <t>31 00 00 - Asphalt Paving:</t>
  </si>
  <si>
    <t>32 16 00 - Curbs, Gutters, Sidewalks, and Driveways</t>
  </si>
  <si>
    <t>Asphalt PaVement:</t>
  </si>
  <si>
    <t>Built-Up Roofing (BUR)</t>
  </si>
  <si>
    <t>Remove BUR, cant strips, and tapered insulation</t>
  </si>
  <si>
    <t>[Sheet A1.1 Note 1]</t>
  </si>
  <si>
    <t>Parapet Coping</t>
  </si>
  <si>
    <t>Remove coping and associated hardware</t>
  </si>
  <si>
    <t>[Detail 1/A2.1]</t>
  </si>
  <si>
    <t>Roof Scuppers</t>
  </si>
  <si>
    <t>Remove existing scuppers (Save Roof B for replacement)</t>
  </si>
  <si>
    <t>[Sheet A1.1 Note 6]</t>
  </si>
  <si>
    <t>Remove existing access ladder</t>
  </si>
  <si>
    <t>[Sheet A1.1 Note 5]</t>
  </si>
  <si>
    <t>Wood Fence</t>
  </si>
  <si>
    <t>Remove wood privacy fence</t>
  </si>
  <si>
    <t>[Sheet A1.1 Note 8]</t>
  </si>
  <si>
    <t>2x4 Sleepers</t>
  </si>
  <si>
    <t>Remove sloped 2x4 sleepers (Roof D)</t>
  </si>
  <si>
    <t>[Sheet A1.1 Note 9]</t>
  </si>
  <si>
    <t>Sheathing</t>
  </si>
  <si>
    <t>Remove plywood sheathing at Roof D</t>
  </si>
  <si>
    <t>Demolition:</t>
  </si>
  <si>
    <t>Demolition (ALL)</t>
  </si>
  <si>
    <t>Roof System (A-H)</t>
  </si>
  <si>
    <t>Fully Adhered EPDM/TPO per spec</t>
  </si>
  <si>
    <t>Coverboard</t>
  </si>
  <si>
    <t>New 5/8" coverboard over existing sheathing</t>
  </si>
  <si>
    <t>[Detail 4/A2.3]</t>
  </si>
  <si>
    <t>ARC-10</t>
  </si>
  <si>
    <t>Crickets: 1/2" per 12" slope to drains</t>
  </si>
  <si>
    <t>[Sheet A1.2 Note 8]</t>
  </si>
  <si>
    <t>ARC-11</t>
  </si>
  <si>
    <t>Parapet Framing</t>
  </si>
  <si>
    <t>Framing</t>
  </si>
  <si>
    <t>Sister new 2x4 framing to existing; Match height</t>
  </si>
  <si>
    <t>[Detail 2/A2.1]</t>
  </si>
  <si>
    <t>ARC-12</t>
  </si>
  <si>
    <t>Parapet Sheathing</t>
  </si>
  <si>
    <t>New 1/2" plywood sheathing</t>
  </si>
  <si>
    <t>ARC-13</t>
  </si>
  <si>
    <t>Metal Flashing</t>
  </si>
  <si>
    <t>24 ga. pre-finished flashing; Continuous hold-down cleats</t>
  </si>
  <si>
    <t>ARC-14</t>
  </si>
  <si>
    <t>Composite Trim</t>
  </si>
  <si>
    <t>1x8 over 1x10 composite trim</t>
  </si>
  <si>
    <t>ARC-15</t>
  </si>
  <si>
    <t>Roof Scupper</t>
  </si>
  <si>
    <t>New pre-manufactured scupper (Detail 5/A2.3)</t>
  </si>
  <si>
    <t>ARC-16</t>
  </si>
  <si>
    <t>Roof Hatch</t>
  </si>
  <si>
    <t>30"x54" Hatch; Insulated; Padlock hasp</t>
  </si>
  <si>
    <t>ARC-17</t>
  </si>
  <si>
    <t>Aluminum; Serrated rungs; Wall brackets</t>
  </si>
  <si>
    <t>[Detail 6/A2.3]</t>
  </si>
  <si>
    <t>ARC-18</t>
  </si>
  <si>
    <t>Rubber walking mats (Hatch to Ladder/Equipment)</t>
  </si>
  <si>
    <t>[Sheet A1.2 Note 10]</t>
  </si>
  <si>
    <t>4 Ton; Daikin 048; Gas/Electric</t>
  </si>
  <si>
    <t>3 Ton; Daikin 036; Gas/Electric</t>
  </si>
  <si>
    <t>RTU-3 (Commons)</t>
  </si>
  <si>
    <t>8.5 Ton; Daikin 102; Gas/Electric</t>
  </si>
  <si>
    <t>RTU-4 (Lobby)</t>
  </si>
  <si>
    <t>RTU-5 (Lockers)</t>
  </si>
  <si>
    <t>7.5 Ton; Daikin 090; Gas/Electric</t>
  </si>
  <si>
    <t>20 Ton; Daikin 240; Gas/Electric</t>
  </si>
  <si>
    <t>Ceiling Mount; 200 CFM</t>
  </si>
  <si>
    <t>Inline; 400 CFM</t>
  </si>
  <si>
    <t>Roof Direct; 720 CFM</t>
  </si>
  <si>
    <t>Roof Direct; 6280 CFM; 3 HP</t>
  </si>
  <si>
    <t>Roof Curbs (RTU)</t>
  </si>
  <si>
    <t>24" High Insulated Curb; Coordinate w/ Structural</t>
  </si>
  <si>
    <t>[Sheet M0.1 Note 2]</t>
  </si>
  <si>
    <t>Roof Curbs (EF)</t>
  </si>
  <si>
    <t>Prefabricated metal curb per spec</t>
  </si>
  <si>
    <t>Ductwork (Interior)</t>
  </si>
  <si>
    <t>Galvanized Steel; SMACNA Std; 2" w.g. class</t>
  </si>
  <si>
    <t>Ductwork (Exterior)</t>
  </si>
  <si>
    <t>Q-Duct Phenolic Pre-insulated (R-12); Weatherproof</t>
  </si>
  <si>
    <t>MEC-16</t>
  </si>
  <si>
    <t>Duct Insulation</t>
  </si>
  <si>
    <t>2" Glass Fiber Foil Faced (Supply/Outside Air)</t>
  </si>
  <si>
    <t>MEC-17</t>
  </si>
  <si>
    <t>Duct Lining</t>
  </si>
  <si>
    <t>1" Rigid Glass Fiber (Return/Drops)</t>
  </si>
  <si>
    <t>MEC-18</t>
  </si>
  <si>
    <t>Doghouse</t>
  </si>
  <si>
    <t>Fabricate</t>
  </si>
  <si>
    <t>32"x32"x24" Insulated Doghouse for duct penetrations</t>
  </si>
  <si>
    <t>MEC-19</t>
  </si>
  <si>
    <t>Gas Piping</t>
  </si>
  <si>
    <t>Remove existing black steel pipe on roof</t>
  </si>
  <si>
    <t>[Sheet M1.2]</t>
  </si>
  <si>
    <t>MEC-20</t>
  </si>
  <si>
    <t>1-1/4", 1", 2" Black Steel; Supports; Paint</t>
  </si>
  <si>
    <t>MEC-21</t>
  </si>
  <si>
    <t>Seismic Bracing</t>
  </si>
  <si>
    <t>Brace all equipment per IBC 2009</t>
  </si>
  <si>
    <t>[Sheet E4.0 Note 6]</t>
  </si>
  <si>
    <t>Cast Iron dome; 3" connection</t>
  </si>
  <si>
    <t>2" Water Dam Collar; 3" connection</t>
  </si>
  <si>
    <t>Rain Leader Piping</t>
  </si>
  <si>
    <t>3" &amp; 4" Cast Iron (No-Hub) or ABS (concealed only)</t>
  </si>
  <si>
    <t>[Sheet M2.2]</t>
  </si>
  <si>
    <t>Pipe Insulation</t>
  </si>
  <si>
    <t>1" Fiberglass w/ ASJ</t>
  </si>
  <si>
    <t>PLU-05</t>
  </si>
  <si>
    <t>Heat Trace (Plumb)</t>
  </si>
  <si>
    <t>Electric heat trace in rain leaders (Coordinate w/ Elec)</t>
  </si>
  <si>
    <t>PLU-06</t>
  </si>
  <si>
    <t>Downspout Nozzle</t>
  </si>
  <si>
    <t>Set in sealant at exterior siding</t>
  </si>
  <si>
    <t>[Detail 9/A2.2]</t>
  </si>
  <si>
    <t>PLU-07</t>
  </si>
  <si>
    <t>Cleanouts</t>
  </si>
  <si>
    <t>Wall/Floor cleanouts as indicated</t>
  </si>
  <si>
    <t>Remove panel and associated feeders/conduit</t>
  </si>
  <si>
    <t>New Panel; Relocate existing circuits</t>
  </si>
  <si>
    <t>Main Distribution</t>
  </si>
  <si>
    <t>Upgrade</t>
  </si>
  <si>
    <t>Replace 300A Main with 400A Main Breaker</t>
  </si>
  <si>
    <t>Feeders (Panel A)</t>
  </si>
  <si>
    <t>1-1/4" C, 3#2, #2N, #8G</t>
  </si>
  <si>
    <t>Feeders (Panel MECH)</t>
  </si>
  <si>
    <t>New</t>
  </si>
  <si>
    <t>4" C, 3#500kcmil, #500kcmil N, #2G</t>
  </si>
  <si>
    <t>RTU Connections</t>
  </si>
  <si>
    <t>Power connections to 6 RTUs (Disconnects/Fuses)</t>
  </si>
  <si>
    <t>ELE-07</t>
  </si>
  <si>
    <t>Smoke Detectors</t>
  </si>
  <si>
    <t>Duct detectors for RTUs &gt; 2000 CFM (RTU-3,4,5,6)</t>
  </si>
  <si>
    <t>[Sheet E3.0 Note 2]</t>
  </si>
  <si>
    <t>ELE-08</t>
  </si>
  <si>
    <t>Heat Trace Power</t>
  </si>
  <si>
    <t>Connection kit; Thermostat; J-box; Pilot light</t>
  </si>
  <si>
    <t>ELE-09</t>
  </si>
  <si>
    <t>Audio/Visual Alarm</t>
  </si>
  <si>
    <t>For smoke detector; Locate at check-in counter</t>
  </si>
  <si>
    <t>ELE-10</t>
  </si>
  <si>
    <t>Disconnect Switches</t>
  </si>
  <si>
    <t>NEMA 3R (Roof); Fused/Non-fused as required</t>
  </si>
  <si>
    <t>ELE-11</t>
  </si>
  <si>
    <t>Convenience Outlets</t>
  </si>
  <si>
    <t>GFCI outlets at RTUs (115V)</t>
  </si>
  <si>
    <t>[Sheet M0.1 Note 3]</t>
  </si>
  <si>
    <t>ELE-12</t>
  </si>
  <si>
    <t>Labeling</t>
  </si>
  <si>
    <t>Update circuit directories; Label new panels</t>
  </si>
  <si>
    <t>[Sheet E4.0 Note 18]</t>
  </si>
  <si>
    <t>Specs / Quantities</t>
  </si>
  <si>
    <t>ARC-19</t>
  </si>
  <si>
    <t>Composite Siding &amp; Trim</t>
  </si>
  <si>
    <t>CertainTeed "Cedar Texture" 7 1/4"; ColorMax finish</t>
  </si>
  <si>
    <t>[Spec 07 46 40]</t>
  </si>
  <si>
    <t>ARC-20</t>
  </si>
  <si>
    <t>Roof Hatch Safety Rail</t>
  </si>
  <si>
    <t>Bilco "Bil-Guard" Fixed Railing System; Safety Yellow</t>
  </si>
  <si>
    <t>[Spec 07 72 10]</t>
  </si>
  <si>
    <t>note: after reviewing all project documents and not only the design documents the following additions to work packages were detected and in the next tab changes to inital work packages</t>
  </si>
  <si>
    <t>ARC-21</t>
  </si>
  <si>
    <t>Painting (Exterior)</t>
  </si>
  <si>
    <t>Paint</t>
  </si>
  <si>
    <t>ICI Paints; 2 coats over primer; Composite Trim &amp; Ferrous Metals</t>
  </si>
  <si>
    <t>[Spec 09 90 00]</t>
  </si>
  <si>
    <t>ARC-22</t>
  </si>
  <si>
    <t>Painting (Interior)</t>
  </si>
  <si>
    <t>ICI Paints; General Drywall; Eggshell finish</t>
  </si>
  <si>
    <t>ARC-23</t>
  </si>
  <si>
    <t>Joint Sealants</t>
  </si>
  <si>
    <t>Silicone (Dow 795) &amp; Polyurethane (Tremco Dymeric); Color selected by Arch</t>
  </si>
  <si>
    <t>[Spec 07 90 00]</t>
  </si>
  <si>
    <t>ARC-24</t>
  </si>
  <si>
    <t>Wood Decking</t>
  </si>
  <si>
    <t>Repair</t>
  </si>
  <si>
    <t>4" x 6" T&amp;G Douglas Fir Decking (Match Existing)</t>
  </si>
  <si>
    <t>[Spec 06 01 00]</t>
  </si>
  <si>
    <t>CIV-14</t>
  </si>
  <si>
    <t>ADOT&amp;PF Class 'A', Type II Aggregate; Temp &gt; 45°F</t>
  </si>
  <si>
    <t>[Spec 32 12 16]</t>
  </si>
  <si>
    <t>CIV-15</t>
  </si>
  <si>
    <t>Leveling Course</t>
  </si>
  <si>
    <t>Grading D-1; Compact to 95% density</t>
  </si>
  <si>
    <t>GEN-07</t>
  </si>
  <si>
    <t>Temporary Facilities</t>
  </si>
  <si>
    <t>Temp heat, power, sanitary facilities, &amp; field office</t>
  </si>
  <si>
    <t>[Spec 01 50 00]</t>
  </si>
  <si>
    <t>GEN-08</t>
  </si>
  <si>
    <t>Project Signage</t>
  </si>
  <si>
    <t>Project identification sign; Maintain cleanliness</t>
  </si>
  <si>
    <t>GEN-09</t>
  </si>
  <si>
    <t>Final Cleaning</t>
  </si>
  <si>
    <t>Remove waste, foreign matter, stains; Polish glass</t>
  </si>
  <si>
    <t>[Spec 01 71 00]</t>
  </si>
  <si>
    <t>HVAC Controls</t>
  </si>
  <si>
    <t>Factory controls, wall timer, or time clock ONLY (No DDC)</t>
  </si>
  <si>
    <t>[Addendum 1]</t>
  </si>
  <si>
    <t>Required for RTUs &gt; 2000 CFM (RTU-3, 4, 5, 6)</t>
  </si>
  <si>
    <t>[Gen Cond 4.11]</t>
  </si>
  <si>
    <t>Independent AABC or NEBB certified agency</t>
  </si>
  <si>
    <t>[Spec 01 67 00]</t>
  </si>
  <si>
    <t>ELE-13</t>
  </si>
  <si>
    <t>Temp Power/Lighting</t>
  </si>
  <si>
    <t>2 watts/sq ft min illumination; Maintain safe wiring</t>
  </si>
  <si>
    <t>ELE-14</t>
  </si>
  <si>
    <t>Connection for rain leaders (Coordinate w/ Civil)</t>
  </si>
  <si>
    <t>BID-01</t>
  </si>
  <si>
    <t>Performance Bond</t>
  </si>
  <si>
    <t>100% of Contract Amount</t>
  </si>
  <si>
    <t>[ITB Sec 5]</t>
  </si>
  <si>
    <t>BID-02</t>
  </si>
  <si>
    <t>Insurance</t>
  </si>
  <si>
    <t>Comm. Gen Liability $1M; Auto $1M; Work Comp</t>
  </si>
  <si>
    <t>[Gen Cond 7.2]</t>
  </si>
  <si>
    <t>Work Package</t>
  </si>
  <si>
    <t>Previous Value (Plans)</t>
  </si>
  <si>
    <t>Updated Value (Specs/Addenda)</t>
  </si>
  <si>
    <t>Reason</t>
  </si>
  <si>
    <t>Roof Recovery Board</t>
  </si>
  <si>
    <t>5/8" Coverboard (Generic)</t>
  </si>
  <si>
    <t>5/8" Georgia Pacific Dens Deck</t>
  </si>
  <si>
    <t>[Addendum 2]: Required for 20yr/120mph Warranty.</t>
  </si>
  <si>
    <t>RTU-5 Curb</t>
  </si>
  <si>
    <t>Standard Curb</t>
  </si>
  <si>
    <t>Field Fabricated Curb</t>
  </si>
  <si>
    <t>[Addendum 1]: Specific instruction to meet design intent.</t>
  </si>
  <si>
    <t>RTU-1 (Racquetball)</t>
  </si>
  <si>
    <t>Base Bid</t>
  </si>
  <si>
    <t>Additive Alternate #1</t>
  </si>
  <si>
    <t>[Bid Form]: Defined as Alt #1.</t>
  </si>
  <si>
    <t>Additive Alternate #2</t>
  </si>
  <si>
    <t>[Bid Form]: Defined as Alt #2.</t>
  </si>
  <si>
    <t>MEC-XX</t>
  </si>
  <si>
    <t>HVAC Mfrs</t>
  </si>
  <si>
    <t>Daikin (Basis of Design)</t>
  </si>
  <si>
    <t>York, Rupp Air, Nailor added</t>
  </si>
  <si>
    <t>[Addendum 1]: Approved substitutions listed.</t>
  </si>
  <si>
    <t>Cast Iron or ABS</t>
  </si>
  <si>
    <t>Ductile Iron CL52 (Exterior)</t>
  </si>
  <si>
    <t>[Spec 33 41 00]: Specific material for rain leaders.</t>
  </si>
  <si>
    <t>GEN-XX</t>
  </si>
  <si>
    <t>Bid Deadline</t>
  </si>
  <si>
    <t>[Addendum 2]: Extension granted.</t>
  </si>
  <si>
    <t>note: here are changes to initially extracted work packages after reading all the project documents and not just the design document (previous tab shows added changes)</t>
  </si>
  <si>
    <t>1. Sheet C1.0 (Civil Site)
Layer: Excavation
Highlight: Box [CIV-01] over the large drain field area.
Tag: "Scope: Excavate 30x15x3.5. Note: Unknown Utilities Risk."
Highlight: Polygon [CIV-03] over the sidewalk at Bidarka St.
Tag: "Scope: Demo &amp; Pour 4in Concrete."
2. Sheet A1.2 (New Roof)
Layer: Roofing
Highlight: Shading over Roofs A, B, C, D, E, F, G, H.
Tag: [ARC-02] "Install EPDM/TPO System."
Highlight: Symbol [ARC-04] at Hatch location.
Tag: "New Roof Hatch (30x54)."
3. Sheet M2.3 (Mech Roof)
Layer: HVAC
Highlight: Boxes over RTU-1 through RTU-6.
Tag: [MEC-01 to MEC-06] "Replace Unit &amp; Curb. Gas Connection [MEC-13] Required."
Highlight: Square [MEC-15] near RTU-6.
Tag: "Doghouse Penetration for Ductwork."
4. Sheet E4.0 (One-Line)
Layer: Distribution
Highlight: "Main MB" symbol.
Tag: [ELE-03] "Upsize to 400A."
Highlight: Feeders to Panel MECH.
Tag: [ELE-04] "New 4in Conduit Run."</t>
  </si>
  <si>
    <t>Conflict Detected: The Civil sheet calls for Heat Trace in rain leaders, and the Electrical sheet confirms the connection. The AI successfully linked these two separate trade drawings.</t>
  </si>
  <si>
    <t>Missing Detail Warning: The Civil drawing mentions "Remove &amp; Replace Asphalt", but no specific asphalt thickness is listed in the Extraction table, only "Match Existing Drainage Patterns". User Action: Verify asphalt spec.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</si>
</sst>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m d, 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1.0"/>
      <color rgb="FF000000"/>
      <name val="Calibri"/>
    </font>
    <font>
      <color rgb="FF1B1C1D"/>
      <name val="&quot;Google Sans Text&quot;"/>
    </font>
    <font>
      <b/>
      <color rgb="FF1B1C1D"/>
      <name val="&quot;Google Sans Text&quot;"/>
    </font>
    <font>
      <b/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2" fontId="4" numFmtId="0" xfId="0" applyAlignment="1" applyFill="1" applyFont="1">
      <alignment horizontal="left" readingOrder="0" shrinkToFit="0" vertical="bottom" wrapText="0"/>
    </xf>
    <xf borderId="1" fillId="3" fontId="1" numFmtId="164" xfId="0" applyAlignment="1" applyBorder="1" applyFill="1" applyFont="1" applyNumberFormat="1">
      <alignment readingOrder="0"/>
    </xf>
    <xf borderId="1" fillId="3" fontId="1" numFmtId="164" xfId="0" applyBorder="1" applyFont="1" applyNumberFormat="1"/>
    <xf borderId="0" fillId="0" fontId="1" numFmtId="164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3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I2" s="1" t="s">
        <v>12</v>
      </c>
    </row>
    <row r="3">
      <c r="A3" s="1" t="s">
        <v>13</v>
      </c>
      <c r="B3" s="1" t="s">
        <v>7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16</v>
      </c>
    </row>
    <row r="5">
      <c r="A5" s="1" t="s">
        <v>21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7</v>
      </c>
      <c r="C6" s="1" t="s">
        <v>27</v>
      </c>
      <c r="D6" s="1" t="s">
        <v>9</v>
      </c>
      <c r="E6" s="1" t="s">
        <v>28</v>
      </c>
      <c r="F6" s="1" t="s">
        <v>25</v>
      </c>
    </row>
    <row r="7">
      <c r="A7" s="1" t="s">
        <v>29</v>
      </c>
      <c r="B7" s="1" t="s">
        <v>7</v>
      </c>
      <c r="C7" s="1" t="s">
        <v>30</v>
      </c>
      <c r="D7" s="1" t="s">
        <v>31</v>
      </c>
      <c r="E7" s="1" t="s">
        <v>32</v>
      </c>
      <c r="F7" s="1" t="s">
        <v>25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>
      <c r="A9" s="1" t="s">
        <v>39</v>
      </c>
      <c r="B9" s="1" t="s">
        <v>34</v>
      </c>
      <c r="C9" s="1" t="s">
        <v>35</v>
      </c>
      <c r="D9" s="1" t="s">
        <v>9</v>
      </c>
      <c r="E9" s="1" t="s">
        <v>40</v>
      </c>
      <c r="F9" s="1" t="s">
        <v>41</v>
      </c>
    </row>
    <row r="10">
      <c r="A10" s="1" t="s">
        <v>42</v>
      </c>
      <c r="B10" s="1" t="s">
        <v>34</v>
      </c>
      <c r="C10" s="1" t="s">
        <v>43</v>
      </c>
      <c r="D10" s="1" t="s">
        <v>44</v>
      </c>
      <c r="E10" s="1" t="s">
        <v>45</v>
      </c>
      <c r="F10" s="1" t="s">
        <v>46</v>
      </c>
    </row>
    <row r="11">
      <c r="A11" s="1" t="s">
        <v>47</v>
      </c>
      <c r="B11" s="1" t="s">
        <v>34</v>
      </c>
      <c r="C11" s="1" t="s">
        <v>48</v>
      </c>
      <c r="D11" s="1" t="s">
        <v>9</v>
      </c>
      <c r="E11" s="1" t="s">
        <v>49</v>
      </c>
      <c r="F11" s="1" t="s">
        <v>50</v>
      </c>
    </row>
    <row r="12">
      <c r="A12" s="1" t="s">
        <v>51</v>
      </c>
      <c r="B12" s="1" t="s">
        <v>34</v>
      </c>
      <c r="C12" s="1" t="s">
        <v>52</v>
      </c>
      <c r="D12" s="1" t="s">
        <v>44</v>
      </c>
      <c r="E12" s="1" t="s">
        <v>53</v>
      </c>
      <c r="F12" s="1" t="s">
        <v>50</v>
      </c>
    </row>
    <row r="13">
      <c r="A13" s="1" t="s">
        <v>54</v>
      </c>
      <c r="B13" s="1" t="s">
        <v>34</v>
      </c>
      <c r="C13" s="1" t="s">
        <v>55</v>
      </c>
      <c r="D13" s="1" t="s">
        <v>56</v>
      </c>
      <c r="E13" s="1" t="s">
        <v>57</v>
      </c>
      <c r="F13" s="1" t="s">
        <v>50</v>
      </c>
    </row>
    <row r="14">
      <c r="A14" s="1" t="s">
        <v>58</v>
      </c>
      <c r="B14" s="1" t="s">
        <v>34</v>
      </c>
      <c r="C14" s="1" t="s">
        <v>59</v>
      </c>
      <c r="D14" s="1" t="s">
        <v>60</v>
      </c>
      <c r="E14" s="1" t="s">
        <v>61</v>
      </c>
      <c r="F14" s="1" t="s">
        <v>38</v>
      </c>
    </row>
    <row r="15">
      <c r="A15" s="1" t="s">
        <v>62</v>
      </c>
      <c r="B15" s="1" t="s">
        <v>34</v>
      </c>
      <c r="C15" s="1" t="s">
        <v>63</v>
      </c>
      <c r="D15" s="1" t="s">
        <v>31</v>
      </c>
      <c r="E15" s="1" t="s">
        <v>64</v>
      </c>
      <c r="F15" s="1" t="s">
        <v>50</v>
      </c>
    </row>
    <row r="16">
      <c r="A16" s="1" t="s">
        <v>65</v>
      </c>
      <c r="B16" s="1" t="s">
        <v>34</v>
      </c>
      <c r="C16" s="1" t="s">
        <v>66</v>
      </c>
      <c r="D16" s="1" t="s">
        <v>31</v>
      </c>
      <c r="E16" s="1" t="s">
        <v>67</v>
      </c>
      <c r="F16" s="1" t="s">
        <v>50</v>
      </c>
    </row>
    <row r="17">
      <c r="A17" s="1" t="s">
        <v>68</v>
      </c>
      <c r="B17" s="1" t="s">
        <v>69</v>
      </c>
      <c r="C17" s="1" t="s">
        <v>70</v>
      </c>
      <c r="D17" s="1" t="s">
        <v>44</v>
      </c>
      <c r="E17" s="1" t="s">
        <v>71</v>
      </c>
      <c r="F17" s="1" t="s">
        <v>72</v>
      </c>
    </row>
    <row r="18">
      <c r="A18" s="1" t="s">
        <v>73</v>
      </c>
      <c r="B18" s="1" t="s">
        <v>69</v>
      </c>
      <c r="C18" s="1" t="s">
        <v>74</v>
      </c>
      <c r="D18" s="1" t="s">
        <v>44</v>
      </c>
      <c r="E18" s="1" t="s">
        <v>75</v>
      </c>
      <c r="F18" s="1" t="s">
        <v>72</v>
      </c>
    </row>
    <row r="19">
      <c r="A19" s="1" t="s">
        <v>76</v>
      </c>
      <c r="B19" s="1" t="s">
        <v>69</v>
      </c>
      <c r="C19" s="1" t="s">
        <v>77</v>
      </c>
      <c r="D19" s="1" t="s">
        <v>44</v>
      </c>
      <c r="E19" s="1" t="s">
        <v>78</v>
      </c>
      <c r="F19" s="1" t="s">
        <v>72</v>
      </c>
    </row>
    <row r="20">
      <c r="A20" s="1" t="s">
        <v>79</v>
      </c>
      <c r="B20" s="1" t="s">
        <v>69</v>
      </c>
      <c r="C20" s="1" t="s">
        <v>80</v>
      </c>
      <c r="D20" s="1" t="s">
        <v>44</v>
      </c>
      <c r="E20" s="1" t="s">
        <v>78</v>
      </c>
      <c r="F20" s="1" t="s">
        <v>72</v>
      </c>
    </row>
    <row r="21">
      <c r="A21" s="1" t="s">
        <v>81</v>
      </c>
      <c r="B21" s="1" t="s">
        <v>69</v>
      </c>
      <c r="C21" s="1" t="s">
        <v>82</v>
      </c>
      <c r="D21" s="1" t="s">
        <v>44</v>
      </c>
      <c r="E21" s="1" t="s">
        <v>83</v>
      </c>
      <c r="F21" s="1" t="s">
        <v>72</v>
      </c>
    </row>
    <row r="22">
      <c r="A22" s="1" t="s">
        <v>84</v>
      </c>
      <c r="B22" s="1" t="s">
        <v>69</v>
      </c>
      <c r="C22" s="1" t="s">
        <v>85</v>
      </c>
      <c r="D22" s="1" t="s">
        <v>44</v>
      </c>
      <c r="E22" s="1" t="s">
        <v>86</v>
      </c>
      <c r="F22" s="1" t="s">
        <v>72</v>
      </c>
    </row>
    <row r="23">
      <c r="A23" s="1" t="s">
        <v>87</v>
      </c>
      <c r="B23" s="1" t="s">
        <v>69</v>
      </c>
      <c r="C23" s="1" t="s">
        <v>88</v>
      </c>
      <c r="D23" s="1" t="s">
        <v>44</v>
      </c>
      <c r="E23" s="1" t="s">
        <v>89</v>
      </c>
      <c r="F23" s="1" t="s">
        <v>72</v>
      </c>
    </row>
    <row r="24">
      <c r="A24" s="1" t="s">
        <v>90</v>
      </c>
      <c r="B24" s="1" t="s">
        <v>69</v>
      </c>
      <c r="C24" s="1" t="s">
        <v>91</v>
      </c>
      <c r="D24" s="1" t="s">
        <v>44</v>
      </c>
      <c r="E24" s="1" t="s">
        <v>89</v>
      </c>
      <c r="F24" s="1" t="s">
        <v>72</v>
      </c>
    </row>
    <row r="25">
      <c r="A25" s="1" t="s">
        <v>92</v>
      </c>
      <c r="B25" s="1" t="s">
        <v>69</v>
      </c>
      <c r="C25" s="1" t="s">
        <v>93</v>
      </c>
      <c r="D25" s="1" t="s">
        <v>44</v>
      </c>
      <c r="E25" s="1" t="s">
        <v>94</v>
      </c>
      <c r="F25" s="1" t="s">
        <v>72</v>
      </c>
    </row>
    <row r="26">
      <c r="A26" s="1" t="s">
        <v>95</v>
      </c>
      <c r="B26" s="1" t="s">
        <v>69</v>
      </c>
      <c r="C26" s="1" t="s">
        <v>96</v>
      </c>
      <c r="D26" s="1" t="s">
        <v>44</v>
      </c>
      <c r="E26" s="1" t="s">
        <v>97</v>
      </c>
      <c r="F26" s="1" t="s">
        <v>72</v>
      </c>
    </row>
    <row r="27">
      <c r="A27" s="1" t="s">
        <v>98</v>
      </c>
      <c r="B27" s="1" t="s">
        <v>69</v>
      </c>
      <c r="C27" s="1" t="s">
        <v>99</v>
      </c>
      <c r="D27" s="1" t="s">
        <v>44</v>
      </c>
      <c r="E27" s="1" t="s">
        <v>100</v>
      </c>
      <c r="F27" s="1" t="s">
        <v>72</v>
      </c>
    </row>
    <row r="28">
      <c r="A28" s="1" t="s">
        <v>101</v>
      </c>
      <c r="B28" s="1" t="s">
        <v>69</v>
      </c>
      <c r="C28" s="1" t="s">
        <v>102</v>
      </c>
      <c r="D28" s="1" t="s">
        <v>9</v>
      </c>
      <c r="E28" s="1" t="s">
        <v>103</v>
      </c>
      <c r="F28" s="1" t="s">
        <v>104</v>
      </c>
    </row>
    <row r="29">
      <c r="A29" s="1" t="s">
        <v>105</v>
      </c>
      <c r="B29" s="1" t="s">
        <v>69</v>
      </c>
      <c r="C29" s="1" t="s">
        <v>106</v>
      </c>
      <c r="D29" s="1" t="s">
        <v>44</v>
      </c>
      <c r="E29" s="1" t="s">
        <v>107</v>
      </c>
      <c r="F29" s="1" t="s">
        <v>104</v>
      </c>
    </row>
    <row r="30">
      <c r="A30" s="1" t="s">
        <v>108</v>
      </c>
      <c r="B30" s="1" t="s">
        <v>69</v>
      </c>
      <c r="C30" s="1" t="s">
        <v>109</v>
      </c>
      <c r="D30" s="1" t="s">
        <v>31</v>
      </c>
      <c r="E30" s="1" t="s">
        <v>110</v>
      </c>
      <c r="F30" s="1" t="s">
        <v>111</v>
      </c>
    </row>
    <row r="31">
      <c r="A31" s="1" t="s">
        <v>112</v>
      </c>
      <c r="B31" s="1" t="s">
        <v>69</v>
      </c>
      <c r="C31" s="1" t="s">
        <v>113</v>
      </c>
      <c r="D31" s="1" t="s">
        <v>31</v>
      </c>
      <c r="E31" s="1" t="s">
        <v>114</v>
      </c>
      <c r="F31" s="1" t="s">
        <v>104</v>
      </c>
    </row>
    <row r="32">
      <c r="A32" s="1" t="s">
        <v>115</v>
      </c>
      <c r="B32" s="1" t="s">
        <v>116</v>
      </c>
      <c r="C32" s="1" t="s">
        <v>117</v>
      </c>
      <c r="D32" s="1" t="s">
        <v>9</v>
      </c>
      <c r="E32" s="1" t="s">
        <v>118</v>
      </c>
      <c r="F32" s="1" t="s">
        <v>119</v>
      </c>
    </row>
    <row r="33">
      <c r="A33" s="1" t="s">
        <v>120</v>
      </c>
      <c r="B33" s="1" t="s">
        <v>116</v>
      </c>
      <c r="C33" s="1" t="s">
        <v>121</v>
      </c>
      <c r="D33" s="1" t="s">
        <v>9</v>
      </c>
      <c r="E33" s="1" t="s">
        <v>122</v>
      </c>
      <c r="F33" s="1" t="s">
        <v>72</v>
      </c>
    </row>
    <row r="34">
      <c r="A34" s="1" t="s">
        <v>123</v>
      </c>
      <c r="B34" s="1" t="s">
        <v>116</v>
      </c>
      <c r="C34" s="1" t="s">
        <v>124</v>
      </c>
      <c r="D34" s="1" t="s">
        <v>31</v>
      </c>
      <c r="E34" s="1" t="s">
        <v>125</v>
      </c>
      <c r="F34" s="1" t="s">
        <v>126</v>
      </c>
    </row>
    <row r="35">
      <c r="A35" s="1" t="s">
        <v>127</v>
      </c>
      <c r="B35" s="1" t="s">
        <v>116</v>
      </c>
      <c r="C35" s="1" t="s">
        <v>128</v>
      </c>
      <c r="D35" s="1" t="s">
        <v>31</v>
      </c>
      <c r="E35" s="1" t="s">
        <v>129</v>
      </c>
      <c r="F35" s="1" t="s">
        <v>130</v>
      </c>
    </row>
    <row r="36">
      <c r="A36" s="1" t="s">
        <v>131</v>
      </c>
      <c r="B36" s="1" t="s">
        <v>132</v>
      </c>
      <c r="C36" s="1" t="s">
        <v>133</v>
      </c>
      <c r="D36" s="1" t="s">
        <v>60</v>
      </c>
      <c r="E36" s="1" t="s">
        <v>134</v>
      </c>
      <c r="F36" s="1" t="s">
        <v>135</v>
      </c>
    </row>
    <row r="37">
      <c r="A37" s="1" t="s">
        <v>136</v>
      </c>
      <c r="B37" s="1" t="s">
        <v>132</v>
      </c>
      <c r="C37" s="1" t="s">
        <v>137</v>
      </c>
      <c r="D37" s="1" t="s">
        <v>9</v>
      </c>
      <c r="E37" s="1" t="s">
        <v>138</v>
      </c>
      <c r="F37" s="1" t="s">
        <v>135</v>
      </c>
    </row>
    <row r="38">
      <c r="A38" s="1" t="s">
        <v>139</v>
      </c>
      <c r="B38" s="1" t="s">
        <v>132</v>
      </c>
      <c r="C38" s="1" t="s">
        <v>140</v>
      </c>
      <c r="D38" s="1" t="s">
        <v>44</v>
      </c>
      <c r="E38" s="1" t="s">
        <v>141</v>
      </c>
      <c r="F38" s="1" t="s">
        <v>142</v>
      </c>
    </row>
    <row r="39">
      <c r="A39" s="1" t="s">
        <v>143</v>
      </c>
      <c r="B39" s="1" t="s">
        <v>132</v>
      </c>
      <c r="C39" s="1" t="s">
        <v>144</v>
      </c>
      <c r="D39" s="1" t="s">
        <v>44</v>
      </c>
      <c r="E39" s="1" t="s">
        <v>145</v>
      </c>
      <c r="F39" s="1" t="s">
        <v>142</v>
      </c>
    </row>
    <row r="40">
      <c r="A40" s="1" t="s">
        <v>146</v>
      </c>
      <c r="B40" s="1" t="s">
        <v>132</v>
      </c>
      <c r="C40" s="1" t="s">
        <v>147</v>
      </c>
      <c r="D40" s="1" t="s">
        <v>31</v>
      </c>
      <c r="E40" s="1" t="s">
        <v>148</v>
      </c>
      <c r="F40" s="1" t="s">
        <v>149</v>
      </c>
    </row>
    <row r="41">
      <c r="A41" s="1" t="s">
        <v>150</v>
      </c>
      <c r="B41" s="1" t="s">
        <v>132</v>
      </c>
      <c r="C41" s="1" t="s">
        <v>151</v>
      </c>
      <c r="D41" s="1" t="s">
        <v>31</v>
      </c>
      <c r="E41" s="1" t="s">
        <v>152</v>
      </c>
      <c r="F41" s="1" t="s">
        <v>142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153</v>
      </c>
      <c r="F1" s="2" t="s">
        <v>5</v>
      </c>
    </row>
    <row r="2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111</v>
      </c>
    </row>
    <row r="3">
      <c r="A3" s="2" t="s">
        <v>159</v>
      </c>
      <c r="B3" s="2" t="s">
        <v>155</v>
      </c>
      <c r="C3" s="2" t="s">
        <v>160</v>
      </c>
      <c r="D3" s="2" t="s">
        <v>161</v>
      </c>
      <c r="E3" s="2" t="s">
        <v>162</v>
      </c>
      <c r="F3" s="2" t="s">
        <v>163</v>
      </c>
    </row>
    <row r="4">
      <c r="A4" s="2" t="s">
        <v>164</v>
      </c>
      <c r="B4" s="2" t="s">
        <v>155</v>
      </c>
      <c r="C4" s="2" t="s">
        <v>165</v>
      </c>
      <c r="D4" s="2" t="s">
        <v>166</v>
      </c>
      <c r="E4" s="2" t="s">
        <v>167</v>
      </c>
      <c r="F4" s="2" t="s">
        <v>168</v>
      </c>
    </row>
    <row r="5">
      <c r="A5" s="2" t="s">
        <v>169</v>
      </c>
      <c r="B5" s="2" t="s">
        <v>155</v>
      </c>
      <c r="C5" s="2" t="s">
        <v>170</v>
      </c>
      <c r="D5" s="2" t="s">
        <v>171</v>
      </c>
      <c r="E5" s="2" t="s">
        <v>172</v>
      </c>
      <c r="F5" s="2" t="s">
        <v>173</v>
      </c>
    </row>
    <row r="6">
      <c r="A6" s="2" t="s">
        <v>174</v>
      </c>
      <c r="B6" s="2" t="s">
        <v>155</v>
      </c>
      <c r="C6" s="2" t="s">
        <v>175</v>
      </c>
      <c r="D6" s="2" t="s">
        <v>176</v>
      </c>
      <c r="E6" s="2" t="s">
        <v>177</v>
      </c>
      <c r="F6" s="2" t="s">
        <v>111</v>
      </c>
    </row>
    <row r="7">
      <c r="A7" s="2" t="s">
        <v>178</v>
      </c>
      <c r="B7" s="2" t="s">
        <v>155</v>
      </c>
      <c r="C7" s="2" t="s">
        <v>179</v>
      </c>
      <c r="D7" s="2" t="s">
        <v>180</v>
      </c>
      <c r="E7" s="2" t="s">
        <v>181</v>
      </c>
      <c r="F7" s="2" t="s">
        <v>111</v>
      </c>
    </row>
    <row r="15">
      <c r="P15" s="1" t="s">
        <v>182</v>
      </c>
    </row>
    <row r="16">
      <c r="Q16" s="3" t="s">
        <v>183</v>
      </c>
    </row>
    <row r="17">
      <c r="Q17" s="1" t="s">
        <v>184</v>
      </c>
    </row>
    <row r="18">
      <c r="K18" s="1" t="s">
        <v>185</v>
      </c>
      <c r="Q18" s="1" t="s">
        <v>184</v>
      </c>
    </row>
    <row r="20">
      <c r="E20" s="1" t="s">
        <v>186</v>
      </c>
      <c r="G20" s="1" t="s">
        <v>187</v>
      </c>
      <c r="H20" s="1" t="s">
        <v>188</v>
      </c>
      <c r="K20" s="1" t="s">
        <v>189</v>
      </c>
    </row>
    <row r="21">
      <c r="H21" s="1" t="s">
        <v>190</v>
      </c>
    </row>
    <row r="22">
      <c r="H22" s="1" t="s">
        <v>191</v>
      </c>
      <c r="K22" s="1" t="s">
        <v>192</v>
      </c>
      <c r="L22" s="1" t="s">
        <v>193</v>
      </c>
    </row>
    <row r="23">
      <c r="H23" s="1" t="s">
        <v>194</v>
      </c>
    </row>
    <row r="28">
      <c r="G28" s="1" t="s">
        <v>195</v>
      </c>
      <c r="H28" s="1" t="s">
        <v>196</v>
      </c>
      <c r="K28" s="1" t="s">
        <v>197</v>
      </c>
      <c r="M28" s="1" t="s">
        <v>198</v>
      </c>
    </row>
    <row r="29">
      <c r="H29" s="1" t="s">
        <v>199</v>
      </c>
      <c r="K29" s="1" t="s">
        <v>200</v>
      </c>
    </row>
    <row r="31">
      <c r="H31" s="1" t="s">
        <v>201</v>
      </c>
    </row>
    <row r="34">
      <c r="G34" s="1" t="s">
        <v>202</v>
      </c>
      <c r="H34" s="1" t="s">
        <v>203</v>
      </c>
      <c r="K34" s="1" t="s">
        <v>204</v>
      </c>
    </row>
    <row r="38">
      <c r="G38" s="1" t="s">
        <v>205</v>
      </c>
      <c r="H38" s="1" t="s">
        <v>206</v>
      </c>
      <c r="K38" s="1" t="s">
        <v>207</v>
      </c>
    </row>
    <row r="41">
      <c r="G41" s="1" t="s">
        <v>208</v>
      </c>
      <c r="H41" s="1" t="s">
        <v>209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13"/>
    <col customWidth="1" min="6" max="6" width="46.13"/>
    <col customWidth="1" min="13" max="13" width="21.0"/>
  </cols>
  <sheetData>
    <row r="1">
      <c r="A1" s="2" t="s">
        <v>0</v>
      </c>
      <c r="B1" s="2" t="s">
        <v>1</v>
      </c>
      <c r="C1" s="4" t="s">
        <v>210</v>
      </c>
      <c r="D1" s="2" t="s">
        <v>2</v>
      </c>
      <c r="E1" s="2" t="s">
        <v>3</v>
      </c>
      <c r="F1" s="2" t="s">
        <v>153</v>
      </c>
      <c r="G1" s="2" t="s">
        <v>5</v>
      </c>
    </row>
    <row r="2">
      <c r="A2" s="2" t="s">
        <v>6</v>
      </c>
      <c r="B2" s="2" t="s">
        <v>7</v>
      </c>
      <c r="C2" s="4" t="s">
        <v>211</v>
      </c>
      <c r="D2" s="2" t="s">
        <v>22</v>
      </c>
      <c r="E2" s="2" t="s">
        <v>212</v>
      </c>
      <c r="F2" s="2" t="s">
        <v>213</v>
      </c>
      <c r="G2" s="2" t="s">
        <v>130</v>
      </c>
      <c r="I2" s="5" t="str">
        <f t="shared" ref="I2:I14" si="1">E2&amp;" "&amp;G2</f>
        <v>Sawcut [Sheet C1.0]</v>
      </c>
      <c r="L2" s="1" t="s">
        <v>214</v>
      </c>
    </row>
    <row r="3">
      <c r="A3" s="2" t="s">
        <v>13</v>
      </c>
      <c r="B3" s="2" t="s">
        <v>7</v>
      </c>
      <c r="C3" s="4" t="s">
        <v>211</v>
      </c>
      <c r="D3" s="2" t="s">
        <v>22</v>
      </c>
      <c r="E3" s="2" t="s">
        <v>36</v>
      </c>
      <c r="F3" s="2" t="s">
        <v>215</v>
      </c>
      <c r="G3" s="2" t="s">
        <v>216</v>
      </c>
      <c r="I3" s="5" t="str">
        <f t="shared" si="1"/>
        <v>Demo [Sheet C2.0 Note 3]</v>
      </c>
      <c r="M3" s="5" t="str">
        <f t="shared" ref="M3:M5" si="2">I3&amp;" "&amp;K3</f>
        <v>Demo [Sheet C2.0 Note 3] </v>
      </c>
    </row>
    <row r="4">
      <c r="A4" s="2" t="s">
        <v>17</v>
      </c>
      <c r="B4" s="2" t="s">
        <v>7</v>
      </c>
      <c r="C4" s="4" t="s">
        <v>211</v>
      </c>
      <c r="D4" s="2" t="s">
        <v>22</v>
      </c>
      <c r="E4" s="2" t="s">
        <v>31</v>
      </c>
      <c r="F4" s="2" t="s">
        <v>217</v>
      </c>
      <c r="G4" s="2" t="s">
        <v>25</v>
      </c>
      <c r="I4" s="5" t="str">
        <f t="shared" si="1"/>
        <v>Install [Sheet C2.0]</v>
      </c>
      <c r="M4" s="5" t="str">
        <f t="shared" si="2"/>
        <v>Install [Sheet C2.0] </v>
      </c>
    </row>
    <row r="5">
      <c r="A5" s="2" t="s">
        <v>21</v>
      </c>
      <c r="B5" s="2" t="s">
        <v>7</v>
      </c>
      <c r="C5" s="4" t="s">
        <v>218</v>
      </c>
      <c r="D5" s="2" t="s">
        <v>219</v>
      </c>
      <c r="E5" s="2" t="s">
        <v>220</v>
      </c>
      <c r="F5" s="2" t="s">
        <v>221</v>
      </c>
      <c r="G5" s="2" t="s">
        <v>130</v>
      </c>
      <c r="I5" s="5" t="str">
        <f t="shared" si="1"/>
        <v>Excavate [Sheet C1.0]</v>
      </c>
      <c r="M5" s="5" t="str">
        <f t="shared" si="2"/>
        <v>Excavate [Sheet C1.0] </v>
      </c>
    </row>
    <row r="6">
      <c r="A6" s="2" t="s">
        <v>26</v>
      </c>
      <c r="B6" s="2" t="s">
        <v>7</v>
      </c>
      <c r="C6" s="4" t="s">
        <v>218</v>
      </c>
      <c r="D6" s="2" t="s">
        <v>222</v>
      </c>
      <c r="E6" s="2" t="s">
        <v>220</v>
      </c>
      <c r="F6" s="2" t="s">
        <v>223</v>
      </c>
      <c r="G6" s="2" t="s">
        <v>130</v>
      </c>
      <c r="I6" s="5" t="str">
        <f t="shared" si="1"/>
        <v>Excavate [Sheet C1.0]</v>
      </c>
    </row>
    <row r="7">
      <c r="A7" s="2" t="s">
        <v>29</v>
      </c>
      <c r="B7" s="2" t="s">
        <v>7</v>
      </c>
      <c r="C7" s="4" t="s">
        <v>224</v>
      </c>
      <c r="D7" s="2" t="s">
        <v>225</v>
      </c>
      <c r="E7" s="2" t="s">
        <v>31</v>
      </c>
      <c r="F7" s="2" t="s">
        <v>226</v>
      </c>
      <c r="G7" s="2" t="s">
        <v>25</v>
      </c>
      <c r="I7" s="5" t="str">
        <f t="shared" si="1"/>
        <v>Install [Sheet C2.0]</v>
      </c>
    </row>
    <row r="8">
      <c r="A8" s="2" t="s">
        <v>227</v>
      </c>
      <c r="B8" s="2" t="s">
        <v>7</v>
      </c>
      <c r="C8" s="4" t="s">
        <v>228</v>
      </c>
      <c r="D8" s="2" t="s">
        <v>229</v>
      </c>
      <c r="E8" s="2" t="s">
        <v>31</v>
      </c>
      <c r="F8" s="2" t="s">
        <v>230</v>
      </c>
      <c r="G8" s="2" t="s">
        <v>25</v>
      </c>
      <c r="I8" s="5" t="str">
        <f t="shared" si="1"/>
        <v>Install [Sheet C2.0]</v>
      </c>
    </row>
    <row r="9">
      <c r="A9" s="2" t="s">
        <v>231</v>
      </c>
      <c r="B9" s="2" t="s">
        <v>7</v>
      </c>
      <c r="C9" s="4" t="s">
        <v>232</v>
      </c>
      <c r="D9" s="2" t="s">
        <v>233</v>
      </c>
      <c r="E9" s="2" t="s">
        <v>31</v>
      </c>
      <c r="F9" s="2" t="s">
        <v>234</v>
      </c>
      <c r="G9" s="2" t="s">
        <v>25</v>
      </c>
      <c r="I9" s="5" t="str">
        <f t="shared" si="1"/>
        <v>Install [Sheet C2.0]</v>
      </c>
    </row>
    <row r="10">
      <c r="A10" s="2" t="s">
        <v>235</v>
      </c>
      <c r="B10" s="2" t="s">
        <v>7</v>
      </c>
      <c r="C10" s="2"/>
      <c r="D10" s="2" t="s">
        <v>236</v>
      </c>
      <c r="E10" s="2" t="s">
        <v>31</v>
      </c>
      <c r="F10" s="2" t="s">
        <v>237</v>
      </c>
      <c r="G10" s="2" t="s">
        <v>238</v>
      </c>
      <c r="I10" s="5" t="str">
        <f t="shared" si="1"/>
        <v>Install [Sheet C2.0 Note 1]</v>
      </c>
    </row>
    <row r="11">
      <c r="A11" s="2" t="s">
        <v>239</v>
      </c>
      <c r="B11" s="2" t="s">
        <v>7</v>
      </c>
      <c r="C11" s="2"/>
      <c r="D11" s="2" t="s">
        <v>240</v>
      </c>
      <c r="E11" s="2" t="s">
        <v>31</v>
      </c>
      <c r="F11" s="2" t="s">
        <v>241</v>
      </c>
      <c r="G11" s="2" t="s">
        <v>130</v>
      </c>
      <c r="I11" s="5" t="str">
        <f t="shared" si="1"/>
        <v>Install [Sheet C1.0]</v>
      </c>
    </row>
    <row r="12">
      <c r="A12" s="2" t="s">
        <v>242</v>
      </c>
      <c r="B12" s="2" t="s">
        <v>7</v>
      </c>
      <c r="C12" s="2"/>
      <c r="D12" s="2" t="s">
        <v>18</v>
      </c>
      <c r="E12" s="2" t="s">
        <v>243</v>
      </c>
      <c r="F12" s="2" t="s">
        <v>244</v>
      </c>
      <c r="G12" s="2" t="s">
        <v>130</v>
      </c>
      <c r="I12" s="5" t="str">
        <f t="shared" si="1"/>
        <v>Remove [Sheet C1.0]</v>
      </c>
    </row>
    <row r="13">
      <c r="A13" s="2" t="s">
        <v>245</v>
      </c>
      <c r="B13" s="2" t="s">
        <v>7</v>
      </c>
      <c r="C13" s="2"/>
      <c r="D13" s="2" t="s">
        <v>18</v>
      </c>
      <c r="E13" s="2" t="s">
        <v>246</v>
      </c>
      <c r="F13" s="2" t="s">
        <v>247</v>
      </c>
      <c r="G13" s="2" t="s">
        <v>248</v>
      </c>
      <c r="I13" s="5" t="str">
        <f t="shared" si="1"/>
        <v>Pour [Detail B/C3.0]</v>
      </c>
    </row>
    <row r="14">
      <c r="A14" s="2" t="s">
        <v>249</v>
      </c>
      <c r="B14" s="2" t="s">
        <v>7</v>
      </c>
      <c r="C14" s="2"/>
      <c r="D14" s="2" t="s">
        <v>250</v>
      </c>
      <c r="E14" s="2" t="s">
        <v>31</v>
      </c>
      <c r="F14" s="2" t="s">
        <v>251</v>
      </c>
      <c r="G14" s="2" t="s">
        <v>252</v>
      </c>
      <c r="I14" s="5" t="str">
        <f t="shared" si="1"/>
        <v>Install [Sheet C3.0]</v>
      </c>
    </row>
    <row r="24">
      <c r="C24" s="1" t="s">
        <v>253</v>
      </c>
    </row>
    <row r="25">
      <c r="D25" s="2" t="str">
        <f t="shared" ref="D25:D26" si="3">F2&amp;" "&amp;G2</f>
        <v>Sawcut clean edge on existing pavement [Sheet C1.0]</v>
      </c>
    </row>
    <row r="26">
      <c r="D26" s="2" t="str">
        <f t="shared" si="3"/>
        <v>Remove 12" additional asphalt from cut edge [Sheet C2.0 Note 3]</v>
      </c>
    </row>
    <row r="28">
      <c r="C28" s="6" t="s">
        <v>254</v>
      </c>
    </row>
    <row r="29">
      <c r="D29" s="2" t="str">
        <f>F4&amp;" "&amp;G4</f>
        <v>Type IIA; Match existing drainage; Paint edges w/ hot asphalt [Sheet C2.0]</v>
      </c>
    </row>
    <row r="36">
      <c r="D36" s="1" t="s">
        <v>255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5" max="5" width="43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153</v>
      </c>
      <c r="F1" s="2" t="s">
        <v>5</v>
      </c>
    </row>
    <row r="2">
      <c r="A2" s="2" t="s">
        <v>33</v>
      </c>
      <c r="B2" s="2" t="s">
        <v>36</v>
      </c>
      <c r="C2" s="2" t="s">
        <v>256</v>
      </c>
      <c r="D2" s="2" t="s">
        <v>60</v>
      </c>
      <c r="E2" s="2" t="s">
        <v>257</v>
      </c>
      <c r="F2" s="2" t="s">
        <v>258</v>
      </c>
    </row>
    <row r="3">
      <c r="A3" s="2" t="s">
        <v>39</v>
      </c>
      <c r="B3" s="2" t="s">
        <v>36</v>
      </c>
      <c r="C3" s="2" t="s">
        <v>259</v>
      </c>
      <c r="D3" s="2" t="s">
        <v>60</v>
      </c>
      <c r="E3" s="2" t="s">
        <v>260</v>
      </c>
      <c r="F3" s="2" t="s">
        <v>261</v>
      </c>
    </row>
    <row r="4">
      <c r="A4" s="2" t="s">
        <v>42</v>
      </c>
      <c r="B4" s="2" t="s">
        <v>36</v>
      </c>
      <c r="C4" s="2" t="s">
        <v>262</v>
      </c>
      <c r="D4" s="2" t="s">
        <v>60</v>
      </c>
      <c r="E4" s="2" t="s">
        <v>263</v>
      </c>
      <c r="F4" s="2" t="s">
        <v>264</v>
      </c>
    </row>
    <row r="5">
      <c r="A5" s="2" t="s">
        <v>47</v>
      </c>
      <c r="B5" s="2" t="s">
        <v>36</v>
      </c>
      <c r="C5" s="2" t="s">
        <v>52</v>
      </c>
      <c r="D5" s="2" t="s">
        <v>60</v>
      </c>
      <c r="E5" s="2" t="s">
        <v>265</v>
      </c>
      <c r="F5" s="2" t="s">
        <v>266</v>
      </c>
    </row>
    <row r="6">
      <c r="A6" s="2" t="s">
        <v>51</v>
      </c>
      <c r="B6" s="2" t="s">
        <v>36</v>
      </c>
      <c r="C6" s="2" t="s">
        <v>267</v>
      </c>
      <c r="D6" s="2" t="s">
        <v>60</v>
      </c>
      <c r="E6" s="2" t="s">
        <v>268</v>
      </c>
      <c r="F6" s="2" t="s">
        <v>269</v>
      </c>
    </row>
    <row r="7">
      <c r="A7" s="2" t="s">
        <v>54</v>
      </c>
      <c r="B7" s="2" t="s">
        <v>36</v>
      </c>
      <c r="C7" s="2" t="s">
        <v>270</v>
      </c>
      <c r="D7" s="2" t="s">
        <v>60</v>
      </c>
      <c r="E7" s="2" t="s">
        <v>271</v>
      </c>
      <c r="F7" s="2" t="s">
        <v>272</v>
      </c>
    </row>
    <row r="8">
      <c r="A8" s="2" t="s">
        <v>58</v>
      </c>
      <c r="B8" s="2" t="s">
        <v>36</v>
      </c>
      <c r="C8" s="2" t="s">
        <v>273</v>
      </c>
      <c r="D8" s="2" t="s">
        <v>60</v>
      </c>
      <c r="E8" s="2" t="s">
        <v>274</v>
      </c>
      <c r="F8" s="2" t="s">
        <v>272</v>
      </c>
    </row>
    <row r="15">
      <c r="C15" s="1" t="s">
        <v>275</v>
      </c>
      <c r="D15" s="2" t="s">
        <v>257</v>
      </c>
      <c r="G15" s="7">
        <v>10.0</v>
      </c>
    </row>
    <row r="16">
      <c r="D16" s="2" t="s">
        <v>260</v>
      </c>
      <c r="G16" s="7">
        <v>11000.0</v>
      </c>
    </row>
    <row r="17">
      <c r="D17" s="2" t="s">
        <v>263</v>
      </c>
      <c r="G17" s="7">
        <v>50.0</v>
      </c>
    </row>
    <row r="18">
      <c r="D18" s="2" t="s">
        <v>265</v>
      </c>
      <c r="G18" s="8"/>
    </row>
    <row r="19">
      <c r="D19" s="2" t="s">
        <v>268</v>
      </c>
      <c r="G19" s="8"/>
    </row>
    <row r="20">
      <c r="D20" s="2" t="s">
        <v>271</v>
      </c>
      <c r="G20" s="8"/>
    </row>
    <row r="21">
      <c r="D21" s="2" t="s">
        <v>274</v>
      </c>
      <c r="G21" s="8"/>
    </row>
    <row r="23">
      <c r="E23" s="1" t="s">
        <v>276</v>
      </c>
      <c r="G23" s="9">
        <f>SUM(G15:G21)</f>
        <v>11060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153</v>
      </c>
      <c r="F1" s="10" t="s">
        <v>5</v>
      </c>
    </row>
    <row r="2">
      <c r="A2" s="11" t="s">
        <v>62</v>
      </c>
      <c r="B2" s="10" t="s">
        <v>34</v>
      </c>
      <c r="C2" s="10" t="s">
        <v>277</v>
      </c>
      <c r="D2" s="10" t="s">
        <v>31</v>
      </c>
      <c r="E2" s="10" t="s">
        <v>278</v>
      </c>
      <c r="F2" s="10" t="s">
        <v>50</v>
      </c>
    </row>
    <row r="3">
      <c r="A3" s="11" t="s">
        <v>65</v>
      </c>
      <c r="B3" s="10" t="s">
        <v>34</v>
      </c>
      <c r="C3" s="10" t="s">
        <v>279</v>
      </c>
      <c r="D3" s="10" t="s">
        <v>31</v>
      </c>
      <c r="E3" s="10" t="s">
        <v>280</v>
      </c>
      <c r="F3" s="10" t="s">
        <v>281</v>
      </c>
    </row>
    <row r="4">
      <c r="A4" s="11" t="s">
        <v>282</v>
      </c>
      <c r="B4" s="10" t="s">
        <v>34</v>
      </c>
      <c r="C4" s="10" t="s">
        <v>66</v>
      </c>
      <c r="D4" s="10" t="s">
        <v>31</v>
      </c>
      <c r="E4" s="10" t="s">
        <v>283</v>
      </c>
      <c r="F4" s="10" t="s">
        <v>284</v>
      </c>
    </row>
    <row r="5">
      <c r="A5" s="11" t="s">
        <v>285</v>
      </c>
      <c r="B5" s="10" t="s">
        <v>34</v>
      </c>
      <c r="C5" s="10" t="s">
        <v>286</v>
      </c>
      <c r="D5" s="10" t="s">
        <v>287</v>
      </c>
      <c r="E5" s="10" t="s">
        <v>288</v>
      </c>
      <c r="F5" s="10" t="s">
        <v>289</v>
      </c>
    </row>
    <row r="6">
      <c r="A6" s="11" t="s">
        <v>290</v>
      </c>
      <c r="B6" s="10" t="s">
        <v>34</v>
      </c>
      <c r="C6" s="10" t="s">
        <v>291</v>
      </c>
      <c r="D6" s="10" t="s">
        <v>31</v>
      </c>
      <c r="E6" s="10" t="s">
        <v>292</v>
      </c>
      <c r="F6" s="10" t="s">
        <v>289</v>
      </c>
    </row>
    <row r="7">
      <c r="A7" s="11" t="s">
        <v>293</v>
      </c>
      <c r="B7" s="10" t="s">
        <v>34</v>
      </c>
      <c r="C7" s="10" t="s">
        <v>294</v>
      </c>
      <c r="D7" s="10" t="s">
        <v>31</v>
      </c>
      <c r="E7" s="10" t="s">
        <v>295</v>
      </c>
      <c r="F7" s="10" t="s">
        <v>289</v>
      </c>
    </row>
    <row r="8">
      <c r="A8" s="11" t="s">
        <v>296</v>
      </c>
      <c r="B8" s="10" t="s">
        <v>34</v>
      </c>
      <c r="C8" s="10" t="s">
        <v>297</v>
      </c>
      <c r="D8" s="10" t="s">
        <v>31</v>
      </c>
      <c r="E8" s="10" t="s">
        <v>298</v>
      </c>
      <c r="F8" s="10" t="s">
        <v>289</v>
      </c>
    </row>
    <row r="9">
      <c r="A9" s="11" t="s">
        <v>299</v>
      </c>
      <c r="B9" s="10" t="s">
        <v>34</v>
      </c>
      <c r="C9" s="10" t="s">
        <v>300</v>
      </c>
      <c r="D9" s="10" t="s">
        <v>31</v>
      </c>
      <c r="E9" s="10" t="s">
        <v>301</v>
      </c>
      <c r="F9" s="10" t="s">
        <v>50</v>
      </c>
    </row>
    <row r="10">
      <c r="A10" s="11" t="s">
        <v>302</v>
      </c>
      <c r="B10" s="10" t="s">
        <v>34</v>
      </c>
      <c r="C10" s="10" t="s">
        <v>303</v>
      </c>
      <c r="D10" s="10" t="s">
        <v>31</v>
      </c>
      <c r="E10" s="10" t="s">
        <v>304</v>
      </c>
      <c r="F10" s="10" t="s">
        <v>50</v>
      </c>
    </row>
    <row r="11">
      <c r="A11" s="11" t="s">
        <v>305</v>
      </c>
      <c r="B11" s="10" t="s">
        <v>34</v>
      </c>
      <c r="C11" s="10" t="s">
        <v>52</v>
      </c>
      <c r="D11" s="10" t="s">
        <v>31</v>
      </c>
      <c r="E11" s="10" t="s">
        <v>306</v>
      </c>
      <c r="F11" s="10" t="s">
        <v>307</v>
      </c>
    </row>
    <row r="12">
      <c r="A12" s="11" t="s">
        <v>308</v>
      </c>
      <c r="B12" s="10" t="s">
        <v>34</v>
      </c>
      <c r="C12" s="10" t="s">
        <v>63</v>
      </c>
      <c r="D12" s="10" t="s">
        <v>31</v>
      </c>
      <c r="E12" s="10" t="s">
        <v>309</v>
      </c>
      <c r="F12" s="10" t="s">
        <v>310</v>
      </c>
    </row>
    <row r="20">
      <c r="I20" s="10" t="s">
        <v>278</v>
      </c>
    </row>
    <row r="21">
      <c r="I21" s="10" t="s">
        <v>280</v>
      </c>
    </row>
    <row r="22">
      <c r="I22" s="10" t="s">
        <v>283</v>
      </c>
    </row>
    <row r="23">
      <c r="I23" s="10" t="s">
        <v>288</v>
      </c>
    </row>
    <row r="24">
      <c r="I24" s="10" t="s">
        <v>292</v>
      </c>
    </row>
    <row r="25">
      <c r="I25" s="10" t="s">
        <v>295</v>
      </c>
    </row>
    <row r="26">
      <c r="I26" s="10" t="s">
        <v>298</v>
      </c>
    </row>
    <row r="27">
      <c r="I27" s="10" t="s">
        <v>301</v>
      </c>
    </row>
    <row r="28">
      <c r="I28" s="10" t="s">
        <v>304</v>
      </c>
    </row>
    <row r="29">
      <c r="I29" s="10" t="s">
        <v>306</v>
      </c>
    </row>
    <row r="30">
      <c r="I30" s="10" t="s">
        <v>309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153</v>
      </c>
      <c r="F1" s="10" t="s">
        <v>5</v>
      </c>
    </row>
    <row r="2">
      <c r="A2" s="11" t="s">
        <v>68</v>
      </c>
      <c r="B2" s="10" t="s">
        <v>69</v>
      </c>
      <c r="C2" s="10" t="s">
        <v>70</v>
      </c>
      <c r="D2" s="10" t="s">
        <v>31</v>
      </c>
      <c r="E2" s="10" t="s">
        <v>311</v>
      </c>
      <c r="F2" s="10" t="s">
        <v>72</v>
      </c>
    </row>
    <row r="3">
      <c r="A3" s="11" t="s">
        <v>73</v>
      </c>
      <c r="B3" s="10" t="s">
        <v>69</v>
      </c>
      <c r="C3" s="10" t="s">
        <v>74</v>
      </c>
      <c r="D3" s="10" t="s">
        <v>31</v>
      </c>
      <c r="E3" s="10" t="s">
        <v>312</v>
      </c>
      <c r="F3" s="10" t="s">
        <v>72</v>
      </c>
    </row>
    <row r="4">
      <c r="A4" s="11" t="s">
        <v>76</v>
      </c>
      <c r="B4" s="10" t="s">
        <v>69</v>
      </c>
      <c r="C4" s="10" t="s">
        <v>313</v>
      </c>
      <c r="D4" s="10" t="s">
        <v>31</v>
      </c>
      <c r="E4" s="10" t="s">
        <v>314</v>
      </c>
      <c r="F4" s="10" t="s">
        <v>72</v>
      </c>
    </row>
    <row r="5">
      <c r="A5" s="11" t="s">
        <v>79</v>
      </c>
      <c r="B5" s="10" t="s">
        <v>69</v>
      </c>
      <c r="C5" s="10" t="s">
        <v>315</v>
      </c>
      <c r="D5" s="10" t="s">
        <v>31</v>
      </c>
      <c r="E5" s="10" t="s">
        <v>314</v>
      </c>
      <c r="F5" s="10" t="s">
        <v>72</v>
      </c>
    </row>
    <row r="6">
      <c r="A6" s="11" t="s">
        <v>81</v>
      </c>
      <c r="B6" s="10" t="s">
        <v>69</v>
      </c>
      <c r="C6" s="10" t="s">
        <v>316</v>
      </c>
      <c r="D6" s="10" t="s">
        <v>31</v>
      </c>
      <c r="E6" s="10" t="s">
        <v>317</v>
      </c>
      <c r="F6" s="10" t="s">
        <v>72</v>
      </c>
    </row>
    <row r="7">
      <c r="A7" s="11" t="s">
        <v>84</v>
      </c>
      <c r="B7" s="10" t="s">
        <v>69</v>
      </c>
      <c r="C7" s="10" t="s">
        <v>85</v>
      </c>
      <c r="D7" s="10" t="s">
        <v>31</v>
      </c>
      <c r="E7" s="10" t="s">
        <v>318</v>
      </c>
      <c r="F7" s="10" t="s">
        <v>72</v>
      </c>
    </row>
    <row r="8">
      <c r="A8" s="11" t="s">
        <v>87</v>
      </c>
      <c r="B8" s="10" t="s">
        <v>69</v>
      </c>
      <c r="C8" s="10" t="s">
        <v>88</v>
      </c>
      <c r="D8" s="10" t="s">
        <v>31</v>
      </c>
      <c r="E8" s="10" t="s">
        <v>319</v>
      </c>
      <c r="F8" s="10" t="s">
        <v>72</v>
      </c>
    </row>
    <row r="9">
      <c r="A9" s="11" t="s">
        <v>90</v>
      </c>
      <c r="B9" s="10" t="s">
        <v>69</v>
      </c>
      <c r="C9" s="10" t="s">
        <v>91</v>
      </c>
      <c r="D9" s="10" t="s">
        <v>31</v>
      </c>
      <c r="E9" s="10" t="s">
        <v>319</v>
      </c>
      <c r="F9" s="10" t="s">
        <v>72</v>
      </c>
    </row>
    <row r="10">
      <c r="A10" s="11" t="s">
        <v>92</v>
      </c>
      <c r="B10" s="10" t="s">
        <v>69</v>
      </c>
      <c r="C10" s="10" t="s">
        <v>93</v>
      </c>
      <c r="D10" s="10" t="s">
        <v>31</v>
      </c>
      <c r="E10" s="10" t="s">
        <v>320</v>
      </c>
      <c r="F10" s="10" t="s">
        <v>72</v>
      </c>
    </row>
    <row r="11">
      <c r="A11" s="11" t="s">
        <v>95</v>
      </c>
      <c r="B11" s="10" t="s">
        <v>69</v>
      </c>
      <c r="C11" s="10" t="s">
        <v>96</v>
      </c>
      <c r="D11" s="10" t="s">
        <v>31</v>
      </c>
      <c r="E11" s="10" t="s">
        <v>321</v>
      </c>
      <c r="F11" s="10" t="s">
        <v>72</v>
      </c>
    </row>
    <row r="12">
      <c r="A12" s="11" t="s">
        <v>98</v>
      </c>
      <c r="B12" s="10" t="s">
        <v>69</v>
      </c>
      <c r="C12" s="10" t="s">
        <v>99</v>
      </c>
      <c r="D12" s="10" t="s">
        <v>31</v>
      </c>
      <c r="E12" s="10" t="s">
        <v>322</v>
      </c>
      <c r="F12" s="10" t="s">
        <v>72</v>
      </c>
    </row>
    <row r="13">
      <c r="A13" s="11" t="s">
        <v>101</v>
      </c>
      <c r="B13" s="10" t="s">
        <v>69</v>
      </c>
      <c r="C13" s="10" t="s">
        <v>323</v>
      </c>
      <c r="D13" s="10" t="s">
        <v>31</v>
      </c>
      <c r="E13" s="10" t="s">
        <v>324</v>
      </c>
      <c r="F13" s="10" t="s">
        <v>325</v>
      </c>
    </row>
    <row r="14">
      <c r="A14" s="11" t="s">
        <v>105</v>
      </c>
      <c r="B14" s="10" t="s">
        <v>69</v>
      </c>
      <c r="C14" s="10" t="s">
        <v>326</v>
      </c>
      <c r="D14" s="10" t="s">
        <v>31</v>
      </c>
      <c r="E14" s="10" t="s">
        <v>327</v>
      </c>
      <c r="F14" s="10" t="s">
        <v>281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153</v>
      </c>
      <c r="F1" s="10" t="s">
        <v>5</v>
      </c>
    </row>
    <row r="2">
      <c r="A2" s="11" t="s">
        <v>108</v>
      </c>
      <c r="B2" s="10" t="s">
        <v>69</v>
      </c>
      <c r="C2" s="10" t="s">
        <v>328</v>
      </c>
      <c r="D2" s="10" t="s">
        <v>31</v>
      </c>
      <c r="E2" s="10" t="s">
        <v>329</v>
      </c>
      <c r="F2" s="10" t="s">
        <v>111</v>
      </c>
    </row>
    <row r="3">
      <c r="A3" s="11" t="s">
        <v>112</v>
      </c>
      <c r="B3" s="10" t="s">
        <v>69</v>
      </c>
      <c r="C3" s="10" t="s">
        <v>330</v>
      </c>
      <c r="D3" s="10" t="s">
        <v>31</v>
      </c>
      <c r="E3" s="10" t="s">
        <v>331</v>
      </c>
      <c r="F3" s="10" t="s">
        <v>111</v>
      </c>
    </row>
    <row r="4">
      <c r="A4" s="11" t="s">
        <v>332</v>
      </c>
      <c r="B4" s="10" t="s">
        <v>69</v>
      </c>
      <c r="C4" s="10" t="s">
        <v>333</v>
      </c>
      <c r="D4" s="10" t="s">
        <v>31</v>
      </c>
      <c r="E4" s="10" t="s">
        <v>334</v>
      </c>
      <c r="F4" s="10" t="s">
        <v>111</v>
      </c>
    </row>
    <row r="5">
      <c r="A5" s="11" t="s">
        <v>335</v>
      </c>
      <c r="B5" s="10" t="s">
        <v>69</v>
      </c>
      <c r="C5" s="10" t="s">
        <v>336</v>
      </c>
      <c r="D5" s="10" t="s">
        <v>31</v>
      </c>
      <c r="E5" s="10" t="s">
        <v>337</v>
      </c>
      <c r="F5" s="10" t="s">
        <v>111</v>
      </c>
    </row>
    <row r="6">
      <c r="A6" s="11" t="s">
        <v>338</v>
      </c>
      <c r="B6" s="10" t="s">
        <v>69</v>
      </c>
      <c r="C6" s="10" t="s">
        <v>339</v>
      </c>
      <c r="D6" s="10" t="s">
        <v>340</v>
      </c>
      <c r="E6" s="10" t="s">
        <v>341</v>
      </c>
      <c r="F6" s="10" t="s">
        <v>104</v>
      </c>
    </row>
    <row r="7">
      <c r="A7" s="11" t="s">
        <v>342</v>
      </c>
      <c r="B7" s="10" t="s">
        <v>69</v>
      </c>
      <c r="C7" s="10" t="s">
        <v>343</v>
      </c>
      <c r="D7" s="10" t="s">
        <v>36</v>
      </c>
      <c r="E7" s="10" t="s">
        <v>344</v>
      </c>
      <c r="F7" s="10" t="s">
        <v>345</v>
      </c>
    </row>
    <row r="8">
      <c r="A8" s="11" t="s">
        <v>346</v>
      </c>
      <c r="B8" s="10" t="s">
        <v>69</v>
      </c>
      <c r="C8" s="10" t="s">
        <v>343</v>
      </c>
      <c r="D8" s="10" t="s">
        <v>31</v>
      </c>
      <c r="E8" s="10" t="s">
        <v>347</v>
      </c>
      <c r="F8" s="10" t="s">
        <v>104</v>
      </c>
    </row>
    <row r="9">
      <c r="A9" s="11" t="s">
        <v>348</v>
      </c>
      <c r="B9" s="10" t="s">
        <v>69</v>
      </c>
      <c r="C9" s="10" t="s">
        <v>349</v>
      </c>
      <c r="D9" s="10" t="s">
        <v>31</v>
      </c>
      <c r="E9" s="10" t="s">
        <v>350</v>
      </c>
      <c r="F9" s="10" t="s">
        <v>351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153</v>
      </c>
      <c r="F1" s="10" t="s">
        <v>5</v>
      </c>
    </row>
    <row r="2">
      <c r="A2" s="11" t="s">
        <v>115</v>
      </c>
      <c r="B2" s="10" t="s">
        <v>116</v>
      </c>
      <c r="C2" s="10" t="s">
        <v>117</v>
      </c>
      <c r="D2" s="10" t="s">
        <v>31</v>
      </c>
      <c r="E2" s="10" t="s">
        <v>352</v>
      </c>
      <c r="F2" s="10" t="s">
        <v>72</v>
      </c>
    </row>
    <row r="3">
      <c r="A3" s="11" t="s">
        <v>120</v>
      </c>
      <c r="B3" s="10" t="s">
        <v>116</v>
      </c>
      <c r="C3" s="10" t="s">
        <v>121</v>
      </c>
      <c r="D3" s="10" t="s">
        <v>31</v>
      </c>
      <c r="E3" s="10" t="s">
        <v>353</v>
      </c>
      <c r="F3" s="10" t="s">
        <v>72</v>
      </c>
    </row>
    <row r="4">
      <c r="A4" s="11" t="s">
        <v>123</v>
      </c>
      <c r="B4" s="10" t="s">
        <v>116</v>
      </c>
      <c r="C4" s="10" t="s">
        <v>354</v>
      </c>
      <c r="D4" s="10" t="s">
        <v>31</v>
      </c>
      <c r="E4" s="10" t="s">
        <v>355</v>
      </c>
      <c r="F4" s="10" t="s">
        <v>356</v>
      </c>
    </row>
    <row r="5">
      <c r="A5" s="11" t="s">
        <v>127</v>
      </c>
      <c r="B5" s="10" t="s">
        <v>116</v>
      </c>
      <c r="C5" s="10" t="s">
        <v>357</v>
      </c>
      <c r="D5" s="10" t="s">
        <v>31</v>
      </c>
      <c r="E5" s="10" t="s">
        <v>358</v>
      </c>
      <c r="F5" s="10" t="s">
        <v>111</v>
      </c>
    </row>
    <row r="6">
      <c r="A6" s="11" t="s">
        <v>359</v>
      </c>
      <c r="B6" s="10" t="s">
        <v>116</v>
      </c>
      <c r="C6" s="10" t="s">
        <v>360</v>
      </c>
      <c r="D6" s="10" t="s">
        <v>31</v>
      </c>
      <c r="E6" s="10" t="s">
        <v>361</v>
      </c>
      <c r="F6" s="10" t="s">
        <v>130</v>
      </c>
    </row>
    <row r="7">
      <c r="A7" s="11" t="s">
        <v>362</v>
      </c>
      <c r="B7" s="10" t="s">
        <v>116</v>
      </c>
      <c r="C7" s="10" t="s">
        <v>363</v>
      </c>
      <c r="D7" s="10" t="s">
        <v>31</v>
      </c>
      <c r="E7" s="10" t="s">
        <v>364</v>
      </c>
      <c r="F7" s="10" t="s">
        <v>365</v>
      </c>
    </row>
    <row r="8">
      <c r="A8" s="11" t="s">
        <v>366</v>
      </c>
      <c r="B8" s="10" t="s">
        <v>116</v>
      </c>
      <c r="C8" s="10" t="s">
        <v>367</v>
      </c>
      <c r="D8" s="10" t="s">
        <v>31</v>
      </c>
      <c r="E8" s="10" t="s">
        <v>368</v>
      </c>
      <c r="F8" s="10" t="s">
        <v>356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153</v>
      </c>
      <c r="F1" s="10" t="s">
        <v>5</v>
      </c>
    </row>
    <row r="2">
      <c r="A2" s="11" t="s">
        <v>131</v>
      </c>
      <c r="B2" s="10" t="s">
        <v>132</v>
      </c>
      <c r="C2" s="10" t="s">
        <v>133</v>
      </c>
      <c r="D2" s="10" t="s">
        <v>60</v>
      </c>
      <c r="E2" s="10" t="s">
        <v>369</v>
      </c>
      <c r="F2" s="10" t="s">
        <v>135</v>
      </c>
    </row>
    <row r="3">
      <c r="A3" s="11" t="s">
        <v>136</v>
      </c>
      <c r="B3" s="10" t="s">
        <v>132</v>
      </c>
      <c r="C3" s="10" t="s">
        <v>137</v>
      </c>
      <c r="D3" s="10" t="s">
        <v>31</v>
      </c>
      <c r="E3" s="10" t="s">
        <v>370</v>
      </c>
      <c r="F3" s="10" t="s">
        <v>135</v>
      </c>
    </row>
    <row r="4">
      <c r="A4" s="11" t="s">
        <v>139</v>
      </c>
      <c r="B4" s="10" t="s">
        <v>132</v>
      </c>
      <c r="C4" s="10" t="s">
        <v>371</v>
      </c>
      <c r="D4" s="10" t="s">
        <v>372</v>
      </c>
      <c r="E4" s="10" t="s">
        <v>373</v>
      </c>
      <c r="F4" s="10" t="s">
        <v>142</v>
      </c>
    </row>
    <row r="5">
      <c r="A5" s="11" t="s">
        <v>143</v>
      </c>
      <c r="B5" s="10" t="s">
        <v>132</v>
      </c>
      <c r="C5" s="10" t="s">
        <v>374</v>
      </c>
      <c r="D5" s="10" t="s">
        <v>44</v>
      </c>
      <c r="E5" s="10" t="s">
        <v>375</v>
      </c>
      <c r="F5" s="10" t="s">
        <v>142</v>
      </c>
    </row>
    <row r="6">
      <c r="A6" s="11" t="s">
        <v>146</v>
      </c>
      <c r="B6" s="10" t="s">
        <v>132</v>
      </c>
      <c r="C6" s="10" t="s">
        <v>376</v>
      </c>
      <c r="D6" s="10" t="s">
        <v>377</v>
      </c>
      <c r="E6" s="10" t="s">
        <v>378</v>
      </c>
      <c r="F6" s="10" t="s">
        <v>142</v>
      </c>
    </row>
    <row r="7">
      <c r="A7" s="11" t="s">
        <v>150</v>
      </c>
      <c r="B7" s="10" t="s">
        <v>132</v>
      </c>
      <c r="C7" s="10" t="s">
        <v>379</v>
      </c>
      <c r="D7" s="10" t="s">
        <v>31</v>
      </c>
      <c r="E7" s="10" t="s">
        <v>380</v>
      </c>
      <c r="F7" s="10" t="s">
        <v>149</v>
      </c>
    </row>
    <row r="8">
      <c r="A8" s="11" t="s">
        <v>381</v>
      </c>
      <c r="B8" s="10" t="s">
        <v>132</v>
      </c>
      <c r="C8" s="10" t="s">
        <v>382</v>
      </c>
      <c r="D8" s="10" t="s">
        <v>31</v>
      </c>
      <c r="E8" s="10" t="s">
        <v>383</v>
      </c>
      <c r="F8" s="10" t="s">
        <v>384</v>
      </c>
    </row>
    <row r="9">
      <c r="A9" s="11" t="s">
        <v>385</v>
      </c>
      <c r="B9" s="10" t="s">
        <v>132</v>
      </c>
      <c r="C9" s="10" t="s">
        <v>386</v>
      </c>
      <c r="D9" s="10" t="s">
        <v>31</v>
      </c>
      <c r="E9" s="10" t="s">
        <v>387</v>
      </c>
      <c r="F9" s="10" t="s">
        <v>142</v>
      </c>
    </row>
    <row r="10">
      <c r="A10" s="11" t="s">
        <v>388</v>
      </c>
      <c r="B10" s="10" t="s">
        <v>132</v>
      </c>
      <c r="C10" s="10" t="s">
        <v>389</v>
      </c>
      <c r="D10" s="10" t="s">
        <v>31</v>
      </c>
      <c r="E10" s="10" t="s">
        <v>390</v>
      </c>
      <c r="F10" s="10" t="s">
        <v>384</v>
      </c>
    </row>
    <row r="11">
      <c r="A11" s="11" t="s">
        <v>391</v>
      </c>
      <c r="B11" s="10" t="s">
        <v>132</v>
      </c>
      <c r="C11" s="10" t="s">
        <v>392</v>
      </c>
      <c r="D11" s="10" t="s">
        <v>31</v>
      </c>
      <c r="E11" s="10" t="s">
        <v>393</v>
      </c>
      <c r="F11" s="10" t="s">
        <v>142</v>
      </c>
    </row>
    <row r="12">
      <c r="A12" s="11" t="s">
        <v>394</v>
      </c>
      <c r="B12" s="10" t="s">
        <v>132</v>
      </c>
      <c r="C12" s="10" t="s">
        <v>395</v>
      </c>
      <c r="D12" s="10" t="s">
        <v>31</v>
      </c>
      <c r="E12" s="10" t="s">
        <v>396</v>
      </c>
      <c r="F12" s="10" t="s">
        <v>397</v>
      </c>
    </row>
    <row r="13">
      <c r="A13" s="11" t="s">
        <v>398</v>
      </c>
      <c r="B13" s="10" t="s">
        <v>132</v>
      </c>
      <c r="C13" s="10" t="s">
        <v>399</v>
      </c>
      <c r="D13" s="10" t="s">
        <v>157</v>
      </c>
      <c r="E13" s="10" t="s">
        <v>400</v>
      </c>
      <c r="F13" s="10" t="s">
        <v>401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402</v>
      </c>
      <c r="F1" s="10" t="s">
        <v>5</v>
      </c>
    </row>
    <row r="2">
      <c r="A2" s="11" t="s">
        <v>403</v>
      </c>
      <c r="B2" s="10" t="s">
        <v>34</v>
      </c>
      <c r="C2" s="10" t="s">
        <v>404</v>
      </c>
      <c r="D2" s="10" t="s">
        <v>31</v>
      </c>
      <c r="E2" s="10" t="s">
        <v>405</v>
      </c>
      <c r="F2" s="10" t="s">
        <v>406</v>
      </c>
    </row>
    <row r="3">
      <c r="A3" s="11" t="s">
        <v>407</v>
      </c>
      <c r="B3" s="10" t="s">
        <v>34</v>
      </c>
      <c r="C3" s="10" t="s">
        <v>408</v>
      </c>
      <c r="D3" s="10" t="s">
        <v>31</v>
      </c>
      <c r="E3" s="10" t="s">
        <v>409</v>
      </c>
      <c r="F3" s="10" t="s">
        <v>410</v>
      </c>
      <c r="H3" s="3" t="s">
        <v>411</v>
      </c>
    </row>
    <row r="4">
      <c r="A4" s="11" t="s">
        <v>412</v>
      </c>
      <c r="B4" s="10" t="s">
        <v>34</v>
      </c>
      <c r="C4" s="10" t="s">
        <v>413</v>
      </c>
      <c r="D4" s="10" t="s">
        <v>414</v>
      </c>
      <c r="E4" s="10" t="s">
        <v>415</v>
      </c>
      <c r="F4" s="10" t="s">
        <v>416</v>
      </c>
    </row>
    <row r="5">
      <c r="A5" s="11" t="s">
        <v>417</v>
      </c>
      <c r="B5" s="10" t="s">
        <v>34</v>
      </c>
      <c r="C5" s="10" t="s">
        <v>418</v>
      </c>
      <c r="D5" s="10" t="s">
        <v>414</v>
      </c>
      <c r="E5" s="10" t="s">
        <v>419</v>
      </c>
      <c r="F5" s="10" t="s">
        <v>416</v>
      </c>
    </row>
    <row r="6">
      <c r="A6" s="11" t="s">
        <v>420</v>
      </c>
      <c r="B6" s="10" t="s">
        <v>34</v>
      </c>
      <c r="C6" s="10" t="s">
        <v>421</v>
      </c>
      <c r="D6" s="10" t="s">
        <v>31</v>
      </c>
      <c r="E6" s="10" t="s">
        <v>422</v>
      </c>
      <c r="F6" s="10" t="s">
        <v>423</v>
      </c>
    </row>
    <row r="7">
      <c r="A7" s="11" t="s">
        <v>424</v>
      </c>
      <c r="B7" s="10" t="s">
        <v>34</v>
      </c>
      <c r="C7" s="10" t="s">
        <v>425</v>
      </c>
      <c r="D7" s="10" t="s">
        <v>426</v>
      </c>
      <c r="E7" s="10" t="s">
        <v>427</v>
      </c>
      <c r="F7" s="10" t="s">
        <v>428</v>
      </c>
    </row>
    <row r="8">
      <c r="A8" s="11" t="s">
        <v>429</v>
      </c>
      <c r="B8" s="10" t="s">
        <v>7</v>
      </c>
      <c r="C8" s="10" t="s">
        <v>211</v>
      </c>
      <c r="D8" s="10" t="s">
        <v>31</v>
      </c>
      <c r="E8" s="10" t="s">
        <v>430</v>
      </c>
      <c r="F8" s="10" t="s">
        <v>431</v>
      </c>
    </row>
    <row r="9">
      <c r="A9" s="11" t="s">
        <v>432</v>
      </c>
      <c r="B9" s="10" t="s">
        <v>7</v>
      </c>
      <c r="C9" s="10" t="s">
        <v>433</v>
      </c>
      <c r="D9" s="10" t="s">
        <v>31</v>
      </c>
      <c r="E9" s="10" t="s">
        <v>434</v>
      </c>
      <c r="F9" s="10" t="s">
        <v>431</v>
      </c>
    </row>
    <row r="10">
      <c r="A10" s="11" t="s">
        <v>435</v>
      </c>
      <c r="B10" s="10" t="s">
        <v>155</v>
      </c>
      <c r="C10" s="10" t="s">
        <v>436</v>
      </c>
      <c r="D10" s="10" t="s">
        <v>31</v>
      </c>
      <c r="E10" s="10" t="s">
        <v>437</v>
      </c>
      <c r="F10" s="10" t="s">
        <v>438</v>
      </c>
    </row>
    <row r="11">
      <c r="A11" s="11" t="s">
        <v>439</v>
      </c>
      <c r="B11" s="10" t="s">
        <v>155</v>
      </c>
      <c r="C11" s="10" t="s">
        <v>440</v>
      </c>
      <c r="D11" s="10" t="s">
        <v>31</v>
      </c>
      <c r="E11" s="10" t="s">
        <v>441</v>
      </c>
      <c r="F11" s="10" t="s">
        <v>438</v>
      </c>
    </row>
    <row r="12">
      <c r="A12" s="11" t="s">
        <v>442</v>
      </c>
      <c r="B12" s="10" t="s">
        <v>155</v>
      </c>
      <c r="C12" s="10" t="s">
        <v>443</v>
      </c>
      <c r="D12" s="10" t="s">
        <v>176</v>
      </c>
      <c r="E12" s="10" t="s">
        <v>444</v>
      </c>
      <c r="F12" s="10" t="s">
        <v>445</v>
      </c>
    </row>
    <row r="13">
      <c r="A13" s="11" t="s">
        <v>332</v>
      </c>
      <c r="B13" s="10" t="s">
        <v>69</v>
      </c>
      <c r="C13" s="10" t="s">
        <v>446</v>
      </c>
      <c r="D13" s="10" t="s">
        <v>31</v>
      </c>
      <c r="E13" s="11" t="s">
        <v>447</v>
      </c>
      <c r="F13" s="10" t="s">
        <v>448</v>
      </c>
    </row>
    <row r="14">
      <c r="A14" s="11" t="s">
        <v>335</v>
      </c>
      <c r="B14" s="10" t="s">
        <v>69</v>
      </c>
      <c r="C14" s="10" t="s">
        <v>147</v>
      </c>
      <c r="D14" s="10" t="s">
        <v>31</v>
      </c>
      <c r="E14" s="10" t="s">
        <v>449</v>
      </c>
      <c r="F14" s="10" t="s">
        <v>450</v>
      </c>
    </row>
    <row r="15">
      <c r="A15" s="11" t="s">
        <v>338</v>
      </c>
      <c r="B15" s="10" t="s">
        <v>69</v>
      </c>
      <c r="C15" s="10" t="s">
        <v>175</v>
      </c>
      <c r="D15" s="10" t="s">
        <v>176</v>
      </c>
      <c r="E15" s="10" t="s">
        <v>451</v>
      </c>
      <c r="F15" s="10" t="s">
        <v>452</v>
      </c>
    </row>
    <row r="16">
      <c r="A16" s="11" t="s">
        <v>453</v>
      </c>
      <c r="B16" s="10" t="s">
        <v>132</v>
      </c>
      <c r="C16" s="10" t="s">
        <v>454</v>
      </c>
      <c r="D16" s="10" t="s">
        <v>31</v>
      </c>
      <c r="E16" s="10" t="s">
        <v>455</v>
      </c>
      <c r="F16" s="10" t="s">
        <v>438</v>
      </c>
    </row>
    <row r="17">
      <c r="A17" s="11" t="s">
        <v>456</v>
      </c>
      <c r="B17" s="10" t="s">
        <v>132</v>
      </c>
      <c r="C17" s="10" t="s">
        <v>151</v>
      </c>
      <c r="D17" s="10" t="s">
        <v>31</v>
      </c>
      <c r="E17" s="10" t="s">
        <v>457</v>
      </c>
      <c r="F17" s="10" t="s">
        <v>130</v>
      </c>
    </row>
    <row r="18">
      <c r="A18" s="11" t="s">
        <v>458</v>
      </c>
      <c r="B18" s="10" t="s">
        <v>157</v>
      </c>
      <c r="C18" s="10" t="s">
        <v>459</v>
      </c>
      <c r="D18" s="10" t="s">
        <v>157</v>
      </c>
      <c r="E18" s="10" t="s">
        <v>460</v>
      </c>
      <c r="F18" s="10" t="s">
        <v>461</v>
      </c>
    </row>
    <row r="19">
      <c r="A19" s="11" t="s">
        <v>462</v>
      </c>
      <c r="B19" s="10" t="s">
        <v>157</v>
      </c>
      <c r="C19" s="10" t="s">
        <v>463</v>
      </c>
      <c r="D19" s="10" t="s">
        <v>157</v>
      </c>
      <c r="E19" s="10" t="s">
        <v>464</v>
      </c>
      <c r="F19" s="10" t="s">
        <v>465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466</v>
      </c>
      <c r="C1" s="10" t="s">
        <v>467</v>
      </c>
      <c r="D1" s="10" t="s">
        <v>468</v>
      </c>
      <c r="E1" s="10" t="s">
        <v>469</v>
      </c>
    </row>
    <row r="2">
      <c r="A2" s="11" t="s">
        <v>39</v>
      </c>
      <c r="B2" s="11" t="s">
        <v>470</v>
      </c>
      <c r="C2" s="10" t="s">
        <v>471</v>
      </c>
      <c r="D2" s="11" t="s">
        <v>472</v>
      </c>
      <c r="E2" s="11" t="s">
        <v>473</v>
      </c>
    </row>
    <row r="3">
      <c r="A3" s="11" t="s">
        <v>101</v>
      </c>
      <c r="B3" s="11" t="s">
        <v>474</v>
      </c>
      <c r="C3" s="10" t="s">
        <v>475</v>
      </c>
      <c r="D3" s="11" t="s">
        <v>476</v>
      </c>
      <c r="E3" s="11" t="s">
        <v>477</v>
      </c>
    </row>
    <row r="4">
      <c r="A4" s="11" t="s">
        <v>68</v>
      </c>
      <c r="B4" s="11" t="s">
        <v>478</v>
      </c>
      <c r="C4" s="10" t="s">
        <v>479</v>
      </c>
      <c r="D4" s="11" t="s">
        <v>480</v>
      </c>
      <c r="E4" s="11" t="s">
        <v>481</v>
      </c>
    </row>
    <row r="5">
      <c r="A5" s="11" t="s">
        <v>84</v>
      </c>
      <c r="B5" s="11" t="s">
        <v>85</v>
      </c>
      <c r="C5" s="10" t="s">
        <v>479</v>
      </c>
      <c r="D5" s="11" t="s">
        <v>482</v>
      </c>
      <c r="E5" s="11" t="s">
        <v>483</v>
      </c>
    </row>
    <row r="6">
      <c r="A6" s="11" t="s">
        <v>484</v>
      </c>
      <c r="B6" s="11" t="s">
        <v>485</v>
      </c>
      <c r="C6" s="10" t="s">
        <v>486</v>
      </c>
      <c r="D6" s="11" t="s">
        <v>487</v>
      </c>
      <c r="E6" s="11" t="s">
        <v>488</v>
      </c>
    </row>
    <row r="7">
      <c r="A7" s="11" t="s">
        <v>123</v>
      </c>
      <c r="B7" s="11" t="s">
        <v>124</v>
      </c>
      <c r="C7" s="10" t="s">
        <v>489</v>
      </c>
      <c r="D7" s="11" t="s">
        <v>490</v>
      </c>
      <c r="E7" s="11" t="s">
        <v>491</v>
      </c>
    </row>
    <row r="8">
      <c r="A8" s="11" t="s">
        <v>492</v>
      </c>
      <c r="B8" s="11" t="s">
        <v>493</v>
      </c>
      <c r="C8" s="12">
        <v>45008.0</v>
      </c>
      <c r="D8" s="13">
        <v>45013.0</v>
      </c>
      <c r="E8" s="11" t="s">
        <v>494</v>
      </c>
    </row>
    <row r="17">
      <c r="B17" s="3" t="s">
        <v>495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497</v>
      </c>
    </row>
    <row r="2">
      <c r="A2" s="14"/>
    </row>
    <row r="3">
      <c r="A3" s="15" t="s">
        <v>498</v>
      </c>
    </row>
  </sheetData>
  <drawing r:id="rId1"/>
</worksheet>
</file>